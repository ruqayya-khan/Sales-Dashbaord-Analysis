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kruqa\Desktop\GitHub\First_Dashboard\"/>
    </mc:Choice>
  </mc:AlternateContent>
  <bookViews>
    <workbookView xWindow="0" yWindow="0" windowWidth="23040" windowHeight="8496" activeTab="4"/>
  </bookViews>
  <sheets>
    <sheet name="Data" sheetId="1" r:id="rId1"/>
    <sheet name="Rough" sheetId="3" r:id="rId2"/>
    <sheet name="Pivots" sheetId="5" r:id="rId3"/>
    <sheet name="Dashboard" sheetId="2" r:id="rId4"/>
    <sheet name="Dashboard (2)" sheetId="6" r:id="rId5"/>
  </sheets>
  <calcPr calcId="162913"/>
  <pivotCaches>
    <pivotCache cacheId="0" r:id="rId6"/>
    <pivotCache cacheId="4" r:id="rId7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5" l="1"/>
  <c r="H4" i="5"/>
  <c r="G4" i="5"/>
  <c r="F4" i="5"/>
  <c r="S50" i="1"/>
  <c r="F50" i="1"/>
</calcChain>
</file>

<file path=xl/sharedStrings.xml><?xml version="1.0" encoding="utf-8"?>
<sst xmlns="http://schemas.openxmlformats.org/spreadsheetml/2006/main" count="771" uniqueCount="259">
  <si>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</si>
  <si>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</si>
  <si>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</si>
  <si>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</si>
  <si>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</si>
  <si>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</si>
  <si>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</si>
  <si>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</si>
  <si>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Product Region</t>
  </si>
  <si>
    <t>Product Color</t>
  </si>
  <si>
    <t>Product Stock</t>
  </si>
  <si>
    <t>Order ID</t>
  </si>
  <si>
    <t>Customer ID</t>
  </si>
  <si>
    <t>Customer Name</t>
  </si>
  <si>
    <t>Customer Location</t>
  </si>
  <si>
    <t>Order Date</t>
  </si>
  <si>
    <t>Order Status</t>
  </si>
  <si>
    <t>Order Quantity</t>
  </si>
  <si>
    <t>Order Total</t>
  </si>
  <si>
    <t>Payment Method</t>
  </si>
  <si>
    <t>Shipping Method</t>
  </si>
  <si>
    <t>Shipping Time (in Days)</t>
  </si>
  <si>
    <t>Estimated Delivery Date</t>
  </si>
  <si>
    <t>Customer Feedback</t>
  </si>
  <si>
    <t>Mountain Bikes</t>
  </si>
  <si>
    <t>Cross Country</t>
  </si>
  <si>
    <t>TrailBlazer 1000</t>
  </si>
  <si>
    <t>Lightweight and versatile</t>
  </si>
  <si>
    <t>M</t>
  </si>
  <si>
    <t>North America</t>
  </si>
  <si>
    <t>Red</t>
  </si>
  <si>
    <t>John Doe</t>
  </si>
  <si>
    <t xml:space="preserve"> USA</t>
  </si>
  <si>
    <t>Shipped</t>
  </si>
  <si>
    <t>Credit Card</t>
  </si>
  <si>
    <t>Ground</t>
  </si>
  <si>
    <t>Positive</t>
  </si>
  <si>
    <t>TrailBlazer 2000</t>
  </si>
  <si>
    <t>High-performance mountain bike</t>
  </si>
  <si>
    <t>L</t>
  </si>
  <si>
    <t>Europe</t>
  </si>
  <si>
    <t>Blue</t>
  </si>
  <si>
    <t>Jane Smith</t>
  </si>
  <si>
    <t xml:space="preserve"> UK</t>
  </si>
  <si>
    <t>Processing</t>
  </si>
  <si>
    <t>PayPal</t>
  </si>
  <si>
    <t>Air</t>
  </si>
  <si>
    <t>Neutral</t>
  </si>
  <si>
    <t>Road Bikes</t>
  </si>
  <si>
    <t>Racing</t>
  </si>
  <si>
    <t>SpeedMaster 1000</t>
  </si>
  <si>
    <t>Agile and aerodynamic road bike</t>
  </si>
  <si>
    <t>Asia</t>
  </si>
  <si>
    <t>Yellow</t>
  </si>
  <si>
    <t>Jack Williams</t>
  </si>
  <si>
    <t xml:space="preserve"> Japan</t>
  </si>
  <si>
    <t>Cancelled</t>
  </si>
  <si>
    <t>SpeedMaster 2000</t>
  </si>
  <si>
    <t>Premium racing road bike</t>
  </si>
  <si>
    <t>Black</t>
  </si>
  <si>
    <t>Mary Johnson</t>
  </si>
  <si>
    <t>Negative</t>
  </si>
  <si>
    <t>Touring Bikes</t>
  </si>
  <si>
    <t>Long Distance</t>
  </si>
  <si>
    <t>Explorer 1000</t>
  </si>
  <si>
    <t>Comfortable and durable touring bike</t>
  </si>
  <si>
    <t>Green</t>
  </si>
  <si>
    <t>Robert Brown</t>
  </si>
  <si>
    <t xml:space="preserve"> Germany</t>
  </si>
  <si>
    <t>Explorer 2000</t>
  </si>
  <si>
    <t>Advanced touring bike</t>
  </si>
  <si>
    <t>Emily Taylor</t>
  </si>
  <si>
    <t xml:space="preserve"> Spain</t>
  </si>
  <si>
    <t>Downhill</t>
  </si>
  <si>
    <t>GravityMaster 1000</t>
  </si>
  <si>
    <t>Rugged and durable downhill bike</t>
  </si>
  <si>
    <t>Orange</t>
  </si>
  <si>
    <t>David Miller</t>
  </si>
  <si>
    <t xml:space="preserve"> China</t>
  </si>
  <si>
    <t>GravityMaster 2000</t>
  </si>
  <si>
    <t>White</t>
  </si>
  <si>
    <t>Sarah Wilson</t>
  </si>
  <si>
    <t>Trail</t>
  </si>
  <si>
    <t>Pathfinder 1000</t>
  </si>
  <si>
    <t>Agile trail bike for all skill levels</t>
  </si>
  <si>
    <t>James Moore</t>
  </si>
  <si>
    <t xml:space="preserve"> France</t>
  </si>
  <si>
    <t>Pathfinder 2000</t>
  </si>
  <si>
    <t>High-performance trail bike</t>
  </si>
  <si>
    <t>Lily Smith</t>
  </si>
  <si>
    <t>Touring</t>
  </si>
  <si>
    <t>Voyager 1000</t>
  </si>
  <si>
    <t>Comfortable touring road bike</t>
  </si>
  <si>
    <t>William Brown</t>
  </si>
  <si>
    <t>Voyager 2000</t>
  </si>
  <si>
    <t>Advanced touring road bike</t>
  </si>
  <si>
    <t>Emma Jones</t>
  </si>
  <si>
    <t>Adventurer 1000</t>
  </si>
  <si>
    <t>Durable bike for long adventures</t>
  </si>
  <si>
    <t>Jack Davis</t>
  </si>
  <si>
    <t>Adventure</t>
  </si>
  <si>
    <t>Adventurer 2000</t>
  </si>
  <si>
    <t>Premium adventure touring bike</t>
  </si>
  <si>
    <t>Sophia Williams</t>
  </si>
  <si>
    <t>Enduro</t>
  </si>
  <si>
    <t>EnduroMaster 1000</t>
  </si>
  <si>
    <t>Endurance-focused mountain bike</t>
  </si>
  <si>
    <t>Michael Johnson</t>
  </si>
  <si>
    <t>EnduroMaster 2000</t>
  </si>
  <si>
    <t>High-performance enduro mountain bike</t>
  </si>
  <si>
    <t>Olivia Wilson</t>
  </si>
  <si>
    <t xml:space="preserve"> Italy</t>
  </si>
  <si>
    <t>Fat Bikes</t>
  </si>
  <si>
    <t>FatTrail 1000</t>
  </si>
  <si>
    <t>All-terrain fat bike</t>
  </si>
  <si>
    <t>Ethan Taylor</t>
  </si>
  <si>
    <t xml:space="preserve"> South Korea</t>
  </si>
  <si>
    <t>FatTrail 2000</t>
  </si>
  <si>
    <t>High-performance fat bike</t>
  </si>
  <si>
    <t>Ava Thomas</t>
  </si>
  <si>
    <t>Cyclocross</t>
  </si>
  <si>
    <t>CrossRider 1000</t>
  </si>
  <si>
    <t>Versatile cyclocross bike</t>
  </si>
  <si>
    <t>Isabella Jackson</t>
  </si>
  <si>
    <t>CrossRider 2000</t>
  </si>
  <si>
    <t>Advanced cyclocross bike</t>
  </si>
  <si>
    <t>Amelia Anderson</t>
  </si>
  <si>
    <t xml:space="preserve"> Greece</t>
  </si>
  <si>
    <t>Tandem</t>
  </si>
  <si>
    <t>DuoExplorer 1000</t>
  </si>
  <si>
    <t>Comfortable tandem touring bike</t>
  </si>
  <si>
    <t>Liam Carter</t>
  </si>
  <si>
    <t xml:space="preserve"> India</t>
  </si>
  <si>
    <t>DuoExplorer 2000</t>
  </si>
  <si>
    <t>High-performance tandem touring bike</t>
  </si>
  <si>
    <t>Sophia Davis</t>
  </si>
  <si>
    <t>Electric</t>
  </si>
  <si>
    <t>E-Mountain 1000</t>
  </si>
  <si>
    <t>Electric mountain bike</t>
  </si>
  <si>
    <t>Benjamin Williams</t>
  </si>
  <si>
    <t xml:space="preserve"> Ireland</t>
  </si>
  <si>
    <t>E-Mountain 2000</t>
  </si>
  <si>
    <t>High-performance electric mountain bike</t>
  </si>
  <si>
    <t>Mia Wilson</t>
  </si>
  <si>
    <t xml:space="preserve"> Taiwan</t>
  </si>
  <si>
    <t>E-Bikes</t>
  </si>
  <si>
    <t>City</t>
  </si>
  <si>
    <t>UrbanEco 1000</t>
  </si>
  <si>
    <t>Eco-friendly electric city bike</t>
  </si>
  <si>
    <t>Noah Johnson</t>
  </si>
  <si>
    <t xml:space="preserve"> Canada</t>
  </si>
  <si>
    <t>UrbanEco 2000</t>
  </si>
  <si>
    <t>High-performance electric city bike</t>
  </si>
  <si>
    <t>Silver</t>
  </si>
  <si>
    <t>Harper Thompson</t>
  </si>
  <si>
    <t>Gravel</t>
  </si>
  <si>
    <t>GravelMaster 1000</t>
  </si>
  <si>
    <t>All-terrain gravel bike</t>
  </si>
  <si>
    <t>Ava Martinez</t>
  </si>
  <si>
    <t>GravelMaster 2000</t>
  </si>
  <si>
    <t>High-performance gravel bike</t>
  </si>
  <si>
    <t>Folding</t>
  </si>
  <si>
    <t>FoldAway 1000</t>
  </si>
  <si>
    <t>Compact folding touring bike</t>
  </si>
  <si>
    <t>Isabella Smith</t>
  </si>
  <si>
    <t>FoldAway 2000</t>
  </si>
  <si>
    <t>Advanced folding touring bike</t>
  </si>
  <si>
    <t>Liam Davis</t>
  </si>
  <si>
    <t>Mountain</t>
  </si>
  <si>
    <t>E-TrailBlazer 1000</t>
  </si>
  <si>
    <t>Mia Jackson</t>
  </si>
  <si>
    <t xml:space="preserve"> England</t>
  </si>
  <si>
    <t>E-TrailBlazer 2000</t>
  </si>
  <si>
    <t>Hybrid Bikes</t>
  </si>
  <si>
    <t>Commuter</t>
  </si>
  <si>
    <t>CommutePro 1000</t>
  </si>
  <si>
    <t>Efficient commuter hybrid bike</t>
  </si>
  <si>
    <t>Ava Wilson</t>
  </si>
  <si>
    <t>CommutePro 2000</t>
  </si>
  <si>
    <t>High-performance commuter hybrid bike</t>
  </si>
  <si>
    <t>Sophia Taylor</t>
  </si>
  <si>
    <t>Aero</t>
  </si>
  <si>
    <t>AeroSpeed 1000</t>
  </si>
  <si>
    <t>Aerodynamic road bike</t>
  </si>
  <si>
    <t>Benjamin Thompson</t>
  </si>
  <si>
    <t xml:space="preserve"> Poland</t>
  </si>
  <si>
    <t>AeroSpeed 2000</t>
  </si>
  <si>
    <t>Advanced aerodynamic road bike</t>
  </si>
  <si>
    <t>Harper Martinez</t>
  </si>
  <si>
    <t>Recumbent</t>
  </si>
  <si>
    <t>ReclineRider 1000</t>
  </si>
  <si>
    <t>Comfortable recumbent touring bike</t>
  </si>
  <si>
    <t>Ethan Smith</t>
  </si>
  <si>
    <t>ReclineRider 2000</t>
  </si>
  <si>
    <t>High-performance recumbent touring bike</t>
  </si>
  <si>
    <t>Isabella Davis</t>
  </si>
  <si>
    <t xml:space="preserve"> Portugal</t>
  </si>
  <si>
    <t>DownhillDominator 1000</t>
  </si>
  <si>
    <t>Downhill mountain bike</t>
  </si>
  <si>
    <t>Liam Johnson</t>
  </si>
  <si>
    <t xml:space="preserve"> Netherlands</t>
  </si>
  <si>
    <t>DownhillDominator 2000</t>
  </si>
  <si>
    <t>High-performance downhill mountain bike</t>
  </si>
  <si>
    <t>Kids Bikes</t>
  </si>
  <si>
    <t>Balance</t>
  </si>
  <si>
    <t>LittleBalancer 1000</t>
  </si>
  <si>
    <t>Starter balance bike for kids</t>
  </si>
  <si>
    <t>Noah Taylor</t>
  </si>
  <si>
    <t>LittleBalancer 2000</t>
  </si>
  <si>
    <t>Upgraded balance bike for kids</t>
  </si>
  <si>
    <t>Sophia Thompson</t>
  </si>
  <si>
    <t>BMX Bikes</t>
  </si>
  <si>
    <t>Freestyle</t>
  </si>
  <si>
    <t>FreestyleMaster 1000</t>
  </si>
  <si>
    <t>Beginner freestyle BMX bike</t>
  </si>
  <si>
    <t>Benjamin Martinez</t>
  </si>
  <si>
    <t>FreestyleMaster 2000</t>
  </si>
  <si>
    <t>Advanced freestyle BMX bike</t>
  </si>
  <si>
    <t>Harper Smith</t>
  </si>
  <si>
    <t xml:space="preserve"> Australia</t>
  </si>
  <si>
    <t>XC-Rider 1000</t>
  </si>
  <si>
    <t>Cross country mountain bike</t>
  </si>
  <si>
    <t>Ethan Davis</t>
  </si>
  <si>
    <t>XC-Rider 2000</t>
  </si>
  <si>
    <t>High-performance cross country bike</t>
  </si>
  <si>
    <t>Endurance</t>
  </si>
  <si>
    <t>EnduranceElite 1000</t>
  </si>
  <si>
    <t>Endurance road bike</t>
  </si>
  <si>
    <t>EnduranceElite 2000</t>
  </si>
  <si>
    <t>High-performance endurance road bike</t>
  </si>
  <si>
    <t>Business Questions</t>
  </si>
  <si>
    <t>What is the total revenue generated?</t>
  </si>
  <si>
    <t>Which product category generates the highest sales?</t>
  </si>
  <si>
    <t>Which product contributes the most revenue?</t>
  </si>
  <si>
    <t>Which region has the highest sales performance?</t>
  </si>
  <si>
    <t>Which customer locations generate the most orders?</t>
  </si>
  <si>
    <t>What is the distribution of customer feedback?</t>
  </si>
  <si>
    <t>How many unique customers are present in the dataset?</t>
  </si>
  <si>
    <t>What is the distribution of order status?</t>
  </si>
  <si>
    <t>Which shipping method is used most frequently?</t>
  </si>
  <si>
    <t>What is the average shipping time?</t>
  </si>
  <si>
    <t>Which product category has the highest order quantity?</t>
  </si>
  <si>
    <t>Which products have low stock levels?</t>
  </si>
  <si>
    <t>Which product color is most popular?</t>
  </si>
  <si>
    <t>Sum of Order Total</t>
  </si>
  <si>
    <t>Total Orders</t>
  </si>
  <si>
    <t>Average Shipping Time (in Days)</t>
  </si>
  <si>
    <t>Vales for Display</t>
  </si>
  <si>
    <t>Total Revenue</t>
  </si>
  <si>
    <t>Avg Shipping Time</t>
  </si>
  <si>
    <t>Total Customers</t>
  </si>
  <si>
    <t>Count of Customer ID</t>
  </si>
  <si>
    <t>Done</t>
  </si>
  <si>
    <t>Row Labels</t>
  </si>
  <si>
    <t>Grand Total</t>
  </si>
  <si>
    <t>Count of Order ID</t>
  </si>
  <si>
    <t>Count of Order Quantity</t>
  </si>
  <si>
    <t>Count of Product Stock</t>
  </si>
  <si>
    <t>Sum of Order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</si>
</sst>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0" fontId="0" fillId="0" borderId="0" xfId="0" applyNumberFormat="1"/>
    <xf numFmtId="0" fontId="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[First_Dashboard.xlsx]Pivots!PivotTable1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of Each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Pivots!$A$7:$A$14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Pivots!$B$7:$B$14</c:f>
              <c:numCache>
                <c:formatCode>General</c:formatCode>
                <c:ptCount val="7"/>
                <c:pt idx="0">
                  <c:v>1800</c:v>
                </c:pt>
                <c:pt idx="1">
                  <c:v>16600</c:v>
                </c:pt>
                <c:pt idx="2">
                  <c:v>3900</c:v>
                </c:pt>
                <c:pt idx="3">
                  <c:v>500</c:v>
                </c:pt>
                <c:pt idx="4">
                  <c:v>50400</c:v>
                </c:pt>
                <c:pt idx="5">
                  <c:v>48100</c:v>
                </c:pt>
                <c:pt idx="6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5-4A7D-89A5-7307FE5D94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94290136"/>
        <c:axId val="594287840"/>
      </c:barChart>
      <c:catAx>
        <c:axId val="594290136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7840"/>
        <c:crosses val="autoZero"/>
        <c:auto val="1"/>
        <c:lblAlgn val="ctr"/>
        <c:lblOffset val="100"/>
        <c:noMultiLvlLbl val="0"/>
      </c:catAx>
      <c:valAx>
        <c:axId val="5942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0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[First_Dashboard.xlsx]Pivots!PivotTable3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that contribute highest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Pivots!$A$17:$A$27</c:f>
              <c:strCache>
                <c:ptCount val="10"/>
                <c:pt idx="0">
                  <c:v>AeroSpeed 1000</c:v>
                </c:pt>
                <c:pt idx="1">
                  <c:v>CrossRider 1000</c:v>
                </c:pt>
                <c:pt idx="2">
                  <c:v>DownhillDominator 1000</c:v>
                </c:pt>
                <c:pt idx="3">
                  <c:v>E-Mountain 1000</c:v>
                </c:pt>
                <c:pt idx="4">
                  <c:v>EnduroMaster 1000</c:v>
                </c:pt>
                <c:pt idx="5">
                  <c:v>E-TrailBlazer 1000</c:v>
                </c:pt>
                <c:pt idx="6">
                  <c:v>GravelMaster 1000</c:v>
                </c:pt>
                <c:pt idx="7">
                  <c:v>GravityMaster 1000</c:v>
                </c:pt>
                <c:pt idx="8">
                  <c:v>SpeedMaster 1000</c:v>
                </c:pt>
                <c:pt idx="9">
                  <c:v>Voyager 1000</c:v>
                </c:pt>
              </c:strCache>
            </c:strRef>
          </c:cat>
          <c:val>
            <c:numRef>
              <c:f>Pivots!$B$17:$B$27</c:f>
              <c:numCache>
                <c:formatCode>General</c:formatCode>
                <c:ptCount val="10"/>
                <c:pt idx="0">
                  <c:v>8400</c:v>
                </c:pt>
                <c:pt idx="1">
                  <c:v>5700</c:v>
                </c:pt>
                <c:pt idx="2">
                  <c:v>5800</c:v>
                </c:pt>
                <c:pt idx="3">
                  <c:v>6000</c:v>
                </c:pt>
                <c:pt idx="4">
                  <c:v>4600</c:v>
                </c:pt>
                <c:pt idx="5">
                  <c:v>6400</c:v>
                </c:pt>
                <c:pt idx="6">
                  <c:v>5100</c:v>
                </c:pt>
                <c:pt idx="7">
                  <c:v>4400</c:v>
                </c:pt>
                <c:pt idx="8">
                  <c:v>5400</c:v>
                </c:pt>
                <c:pt idx="9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E-48B6-8B5E-5FFB1CC04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282592"/>
        <c:axId val="594282264"/>
        <c:axId val="0"/>
      </c:bar3DChart>
      <c:catAx>
        <c:axId val="59428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2264"/>
        <c:crosses val="autoZero"/>
        <c:auto val="1"/>
        <c:lblAlgn val="ctr"/>
        <c:lblOffset val="100"/>
        <c:noMultiLvlLbl val="0"/>
      </c:catAx>
      <c:valAx>
        <c:axId val="59428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that contributes highest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Pivots!$A$30:$A$33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Pivots!$B$30:$B$33</c:f>
              <c:numCache>
                <c:formatCode>General</c:formatCode>
                <c:ptCount val="3"/>
                <c:pt idx="0">
                  <c:v>47800</c:v>
                </c:pt>
                <c:pt idx="1">
                  <c:v>62600</c:v>
                </c:pt>
                <c:pt idx="2">
                  <c:v>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61-474F-A7F1-0F966D1A8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3749632"/>
        <c:axId val="653739792"/>
        <c:axId val="0"/>
      </c:bar3DChart>
      <c:catAx>
        <c:axId val="65374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39792"/>
        <c:crosses val="autoZero"/>
        <c:auto val="1"/>
        <c:lblAlgn val="ctr"/>
        <c:lblOffset val="100"/>
        <c:noMultiLvlLbl val="0"/>
      </c:catAx>
      <c:valAx>
        <c:axId val="65373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4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Locations</a:t>
            </a:r>
            <a:r>
              <a:rPr lang="en-US" baseline="0"/>
              <a:t> with highest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Pivots!$A$36:$A$46</c:f>
              <c:strCache>
                <c:ptCount val="10"/>
                <c:pt idx="0">
                  <c:v> Canada</c:v>
                </c:pt>
                <c:pt idx="1">
                  <c:v> China</c:v>
                </c:pt>
                <c:pt idx="2">
                  <c:v> England</c:v>
                </c:pt>
                <c:pt idx="3">
                  <c:v> France</c:v>
                </c:pt>
                <c:pt idx="4">
                  <c:v> Germany</c:v>
                </c:pt>
                <c:pt idx="5">
                  <c:v> Ireland</c:v>
                </c:pt>
                <c:pt idx="6">
                  <c:v> Japan</c:v>
                </c:pt>
                <c:pt idx="7">
                  <c:v> Poland</c:v>
                </c:pt>
                <c:pt idx="8">
                  <c:v> Spain</c:v>
                </c:pt>
                <c:pt idx="9">
                  <c:v> USA</c:v>
                </c:pt>
              </c:strCache>
            </c:strRef>
          </c:cat>
          <c:val>
            <c:numRef>
              <c:f>Pivots!$B$36:$B$46</c:f>
              <c:numCache>
                <c:formatCode>General</c:formatCode>
                <c:ptCount val="10"/>
                <c:pt idx="0">
                  <c:v>7900</c:v>
                </c:pt>
                <c:pt idx="1">
                  <c:v>11600</c:v>
                </c:pt>
                <c:pt idx="2">
                  <c:v>6400</c:v>
                </c:pt>
                <c:pt idx="3">
                  <c:v>9500</c:v>
                </c:pt>
                <c:pt idx="4">
                  <c:v>7700</c:v>
                </c:pt>
                <c:pt idx="5">
                  <c:v>6000</c:v>
                </c:pt>
                <c:pt idx="6">
                  <c:v>19200</c:v>
                </c:pt>
                <c:pt idx="7">
                  <c:v>8400</c:v>
                </c:pt>
                <c:pt idx="8">
                  <c:v>6900</c:v>
                </c:pt>
                <c:pt idx="9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2B-402C-9FFE-6246F6F2B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5875312"/>
        <c:axId val="475870720"/>
        <c:axId val="0"/>
      </c:bar3DChart>
      <c:catAx>
        <c:axId val="47587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70720"/>
        <c:crosses val="autoZero"/>
        <c:auto val="1"/>
        <c:lblAlgn val="ctr"/>
        <c:lblOffset val="100"/>
        <c:noMultiLvlLbl val="0"/>
      </c:catAx>
      <c:valAx>
        <c:axId val="47587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7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[First_Dashboard.xlsx]Pivots!PivotTable7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Customer Feedback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</c:pivotFmts>
    <c:plotArea>
      <c:layout/>
      <c:pieChart>
        <c:varyColors val="1"/>
        <c:ser>
          <c:idx val="0"/>
          <c:order val="0"/>
          <c:tx>
            <c:strRef>
              <c:f>Pivots!$F$6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A-4216-8645-BB8F6FE264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A-4216-8645-BB8F6FE2645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EA-4216-8645-BB8F6FE26450}"/>
              </c:ext>
            </c:extLst>
          </c:dPt>
          <c:dLbls>
            <c:delete val="1"/>
          </c:dLbls>
          <c:cat>
            <c:strRef>
              <c:f>Pivots!$E$7:$E$10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Pivots!$F$7:$F$10</c:f>
              <c:numCache>
                <c:formatCode>General</c:formatCode>
                <c:ptCount val="3"/>
                <c:pt idx="0">
                  <c:v>8</c:v>
                </c:pt>
                <c:pt idx="1">
                  <c:v>15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EA-4216-8645-BB8F6FE264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9607092684262"/>
          <c:y val="0.29827771546652643"/>
          <c:w val="0.27296272344047229"/>
          <c:h val="0.53987500552449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Disribution of Order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</c:pivotFmts>
    <c:plotArea>
      <c:layout/>
      <c:pieChart>
        <c:varyColors val="1"/>
        <c:ser>
          <c:idx val="0"/>
          <c:order val="0"/>
          <c:tx>
            <c:strRef>
              <c:f>Pivots!$F$12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E7A-4C6D-A4F5-26CB9EFAADB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E7A-4C6D-A4F5-26CB9EFAADB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7A-4C6D-A4F5-26CB9EFAADB7}"/>
              </c:ext>
            </c:extLst>
          </c:dPt>
          <c:cat>
            <c:strRef>
              <c:f>Pivots!$E$13:$E$16</c:f>
              <c:strCache>
                <c:ptCount val="3"/>
                <c:pt idx="0">
                  <c:v>Cancelled</c:v>
                </c:pt>
                <c:pt idx="1">
                  <c:v>Processing</c:v>
                </c:pt>
                <c:pt idx="2">
                  <c:v>Shipped</c:v>
                </c:pt>
              </c:strCache>
            </c:strRef>
          </c:cat>
          <c:val>
            <c:numRef>
              <c:f>Pivots!$F$13:$F$16</c:f>
              <c:numCache>
                <c:formatCode>General</c:formatCode>
                <c:ptCount val="3"/>
                <c:pt idx="0">
                  <c:v>6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7A-4C6D-A4F5-26CB9EFAA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Shiping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</c:pivotFmts>
    <c:plotArea>
      <c:layout/>
      <c:pieChart>
        <c:varyColors val="1"/>
        <c:ser>
          <c:idx val="0"/>
          <c:order val="0"/>
          <c:tx>
            <c:strRef>
              <c:f>Pivots!$F$18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957-4EA9-9621-C2C46F3A59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957-4EA9-9621-C2C46F3A59D7}"/>
              </c:ext>
            </c:extLst>
          </c:dPt>
          <c:cat>
            <c:strRef>
              <c:f>Pivots!$E$19:$E$21</c:f>
              <c:strCache>
                <c:ptCount val="2"/>
                <c:pt idx="0">
                  <c:v>Air</c:v>
                </c:pt>
                <c:pt idx="1">
                  <c:v>Ground</c:v>
                </c:pt>
              </c:strCache>
            </c:strRef>
          </c:cat>
          <c:val>
            <c:numRef>
              <c:f>Pivots!$F$19:$F$21</c:f>
              <c:numCache>
                <c:formatCode>General</c:formatCode>
                <c:ptCount val="2"/>
                <c:pt idx="0">
                  <c:v>27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7-4EA9-9621-C2C46F3A5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 with Highest Order Quantity</a:t>
            </a:r>
          </a:p>
        </c:rich>
      </c:tx>
      <c:layout>
        <c:manualLayout>
          <c:xMode val="edge"/>
          <c:yMode val="edge"/>
          <c:x val="0.15561111111111112"/>
          <c:y val="0.1424978127734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Pivots!$F$23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Pivots!$E$24:$E$31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Pivots!$F$24:$F$31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16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C-40F2-B3FC-8A87DA2B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288496"/>
        <c:axId val="594292432"/>
        <c:axId val="0"/>
      </c:bar3DChart>
      <c:catAx>
        <c:axId val="59428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2432"/>
        <c:crosses val="autoZero"/>
        <c:auto val="1"/>
        <c:lblAlgn val="ctr"/>
        <c:lblOffset val="100"/>
        <c:noMultiLvlLbl val="0"/>
      </c:catAx>
      <c:valAx>
        <c:axId val="5942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 of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Pivots!$F$33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Pivots!$E$34:$E$41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Pivots!$F$34:$F$41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16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8-4C83-85F5-741BA46B0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9603120"/>
        <c:axId val="459598200"/>
        <c:axId val="0"/>
      </c:bar3DChart>
      <c:catAx>
        <c:axId val="45960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98200"/>
        <c:crosses val="autoZero"/>
        <c:auto val="1"/>
        <c:lblAlgn val="ctr"/>
        <c:lblOffset val="100"/>
        <c:noMultiLvlLbl val="0"/>
      </c:catAx>
      <c:valAx>
        <c:axId val="45959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0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ordered Color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Pivots!$F$43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Pivots!$E$44:$E$52</c:f>
              <c:strCache>
                <c:ptCount val="8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Orange</c:v>
                </c:pt>
                <c:pt idx="4">
                  <c:v>Red</c:v>
                </c:pt>
                <c:pt idx="5">
                  <c:v>Silver</c:v>
                </c:pt>
                <c:pt idx="6">
                  <c:v>White</c:v>
                </c:pt>
                <c:pt idx="7">
                  <c:v>Yellow</c:v>
                </c:pt>
              </c:strCache>
            </c:strRef>
          </c:cat>
          <c:val>
            <c:numRef>
              <c:f>Pivots!$F$44:$F$52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9</c:v>
                </c:pt>
                <c:pt idx="5">
                  <c:v>3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7-4D45-B393-353685174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6665272"/>
        <c:axId val="467675656"/>
        <c:axId val="0"/>
      </c:bar3DChart>
      <c:catAx>
        <c:axId val="466665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5656"/>
        <c:crosses val="autoZero"/>
        <c:auto val="1"/>
        <c:lblAlgn val="ctr"/>
        <c:lblOffset val="100"/>
        <c:noMultiLvlLbl val="0"/>
      </c:catAx>
      <c:valAx>
        <c:axId val="46767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6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[First_Dashboard.xlsx]Pivots!PivotTable1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of Each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Pivots!$B$6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Pivots!$A$7:$A$14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Pivots!$B$7:$B$14</c:f>
              <c:numCache>
                <c:formatCode>General</c:formatCode>
                <c:ptCount val="7"/>
                <c:pt idx="0">
                  <c:v>1800</c:v>
                </c:pt>
                <c:pt idx="1">
                  <c:v>16600</c:v>
                </c:pt>
                <c:pt idx="2">
                  <c:v>3900</c:v>
                </c:pt>
                <c:pt idx="3">
                  <c:v>500</c:v>
                </c:pt>
                <c:pt idx="4">
                  <c:v>50400</c:v>
                </c:pt>
                <c:pt idx="5">
                  <c:v>48100</c:v>
                </c:pt>
                <c:pt idx="6">
                  <c:v>26500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F-4802-A2B5-AA3DFA107A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94290136"/>
        <c:axId val="594287840"/>
      </c:barChart>
      <c:catAx>
        <c:axId val="594290136"/>
        <c:scaling>
          <c:orientation val="minMax"/>
        </c:scaling>
        <c:delete val="0"/>
        <c:axPos val="l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7840"/>
        <c:crosses val="autoZero"/>
        <c:auto val="1"/>
        <c:lblAlgn val="ctr"/>
        <c:lblOffset val="100"/>
        <c:noMultiLvlLbl val="0"/>
      </c:catAx>
      <c:valAx>
        <c:axId val="59428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[First_Dashboard.xlsx]Pivots!PivotTable3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Products that contribute highest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Pivots!$A$17:$A$27</c:f>
              <c:strCache>
                <c:ptCount val="10"/>
                <c:pt idx="0">
                  <c:v>AeroSpeed 1000</c:v>
                </c:pt>
                <c:pt idx="1">
                  <c:v>CrossRider 1000</c:v>
                </c:pt>
                <c:pt idx="2">
                  <c:v>DownhillDominator 1000</c:v>
                </c:pt>
                <c:pt idx="3">
                  <c:v>E-Mountain 1000</c:v>
                </c:pt>
                <c:pt idx="4">
                  <c:v>EnduroMaster 1000</c:v>
                </c:pt>
                <c:pt idx="5">
                  <c:v>E-TrailBlazer 1000</c:v>
                </c:pt>
                <c:pt idx="6">
                  <c:v>GravelMaster 1000</c:v>
                </c:pt>
                <c:pt idx="7">
                  <c:v>GravityMaster 1000</c:v>
                </c:pt>
                <c:pt idx="8">
                  <c:v>SpeedMaster 1000</c:v>
                </c:pt>
                <c:pt idx="9">
                  <c:v>Voyager 1000</c:v>
                </c:pt>
              </c:strCache>
            </c:strRef>
          </c:cat>
          <c:val>
            <c:numRef>
              <c:f>Pivots!$B$17:$B$27</c:f>
              <c:numCache>
                <c:formatCode>General</c:formatCode>
                <c:ptCount val="10"/>
                <c:pt idx="0">
                  <c:v>8400</c:v>
                </c:pt>
                <c:pt idx="1">
                  <c:v>5700</c:v>
                </c:pt>
                <c:pt idx="2">
                  <c:v>5800</c:v>
                </c:pt>
                <c:pt idx="3">
                  <c:v>6000</c:v>
                </c:pt>
                <c:pt idx="4">
                  <c:v>4600</c:v>
                </c:pt>
                <c:pt idx="5">
                  <c:v>6400</c:v>
                </c:pt>
                <c:pt idx="6">
                  <c:v>5100</c:v>
                </c:pt>
                <c:pt idx="7">
                  <c:v>4400</c:v>
                </c:pt>
                <c:pt idx="8">
                  <c:v>5400</c:v>
                </c:pt>
                <c:pt idx="9">
                  <c:v>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B6-4CA4-8807-57B367D84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282592"/>
        <c:axId val="594282264"/>
        <c:axId val="0"/>
      </c:bar3DChart>
      <c:catAx>
        <c:axId val="594282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2264"/>
        <c:crosses val="autoZero"/>
        <c:auto val="1"/>
        <c:lblAlgn val="ctr"/>
        <c:lblOffset val="100"/>
        <c:noMultiLvlLbl val="0"/>
      </c:catAx>
      <c:valAx>
        <c:axId val="594282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</a:t>
            </a:r>
            <a:r>
              <a:rPr lang="en-US" baseline="0"/>
              <a:t> that contributes highest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Pivots!$A$30:$A$33</c:f>
              <c:strCache>
                <c:ptCount val="3"/>
                <c:pt idx="0">
                  <c:v>Asia</c:v>
                </c:pt>
                <c:pt idx="1">
                  <c:v>Europe</c:v>
                </c:pt>
                <c:pt idx="2">
                  <c:v>North America</c:v>
                </c:pt>
              </c:strCache>
            </c:strRef>
          </c:cat>
          <c:val>
            <c:numRef>
              <c:f>Pivots!$B$30:$B$33</c:f>
              <c:numCache>
                <c:formatCode>General</c:formatCode>
                <c:ptCount val="3"/>
                <c:pt idx="0">
                  <c:v>47800</c:v>
                </c:pt>
                <c:pt idx="1">
                  <c:v>62600</c:v>
                </c:pt>
                <c:pt idx="2">
                  <c:v>37400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9-489B-BC23-D7A6CC9B2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53749632"/>
        <c:axId val="653739792"/>
        <c:axId val="0"/>
      </c:bar3DChart>
      <c:catAx>
        <c:axId val="653749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39792"/>
        <c:crosses val="autoZero"/>
        <c:auto val="1"/>
        <c:lblAlgn val="ctr"/>
        <c:lblOffset val="100"/>
        <c:noMultiLvlLbl val="0"/>
      </c:catAx>
      <c:valAx>
        <c:axId val="65373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49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Locations</a:t>
            </a:r>
            <a:r>
              <a:rPr lang="en-US" baseline="0"/>
              <a:t> with highest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Pivots!$B$35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Pivots!$A$36:$A$46</c:f>
              <c:strCache>
                <c:ptCount val="10"/>
                <c:pt idx="0">
                  <c:v> Canada</c:v>
                </c:pt>
                <c:pt idx="1">
                  <c:v> China</c:v>
                </c:pt>
                <c:pt idx="2">
                  <c:v> England</c:v>
                </c:pt>
                <c:pt idx="3">
                  <c:v> France</c:v>
                </c:pt>
                <c:pt idx="4">
                  <c:v> Germany</c:v>
                </c:pt>
                <c:pt idx="5">
                  <c:v> Ireland</c:v>
                </c:pt>
                <c:pt idx="6">
                  <c:v> Japan</c:v>
                </c:pt>
                <c:pt idx="7">
                  <c:v> Poland</c:v>
                </c:pt>
                <c:pt idx="8">
                  <c:v> Spain</c:v>
                </c:pt>
                <c:pt idx="9">
                  <c:v> USA</c:v>
                </c:pt>
              </c:strCache>
            </c:strRef>
          </c:cat>
          <c:val>
            <c:numRef>
              <c:f>Pivots!$B$36:$B$46</c:f>
              <c:numCache>
                <c:formatCode>General</c:formatCode>
                <c:ptCount val="10"/>
                <c:pt idx="0">
                  <c:v>7900</c:v>
                </c:pt>
                <c:pt idx="1">
                  <c:v>11600</c:v>
                </c:pt>
                <c:pt idx="2">
                  <c:v>6400</c:v>
                </c:pt>
                <c:pt idx="3">
                  <c:v>9500</c:v>
                </c:pt>
                <c:pt idx="4">
                  <c:v>7700</c:v>
                </c:pt>
                <c:pt idx="5">
                  <c:v>6000</c:v>
                </c:pt>
                <c:pt idx="6">
                  <c:v>19200</c:v>
                </c:pt>
                <c:pt idx="7">
                  <c:v>8400</c:v>
                </c:pt>
                <c:pt idx="8">
                  <c:v>6900</c:v>
                </c:pt>
                <c:pt idx="9">
                  <c:v>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E-4053-B123-F9E38A396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5875312"/>
        <c:axId val="475870720"/>
        <c:axId val="0"/>
      </c:bar3DChart>
      <c:catAx>
        <c:axId val="47587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70720"/>
        <c:crosses val="autoZero"/>
        <c:auto val="1"/>
        <c:lblAlgn val="ctr"/>
        <c:lblOffset val="100"/>
        <c:noMultiLvlLbl val="0"/>
      </c:catAx>
      <c:valAx>
        <c:axId val="47587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87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[First_Dashboard.xlsx]Pivots!PivotTable7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Customer Feedback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5"/>
        <c:spPr>
          <a:solidFill>
            <a:srgbClr val="FF0000"/>
          </a:solidFill>
          <a:ln>
            <a:noFill/>
          </a:ln>
          <a:effectLst/>
        </c:spPr>
      </c:pivotFmt>
      <c:pivotFmt>
        <c:idx val="26"/>
        <c:spPr>
          <a:solidFill>
            <a:srgbClr val="FFFF00"/>
          </a:solidFill>
          <a:ln>
            <a:noFill/>
          </a:ln>
          <a:effectLst/>
        </c:spPr>
      </c:pivotFmt>
      <c:pivotFmt>
        <c:idx val="27"/>
        <c:spPr>
          <a:solidFill>
            <a:srgbClr val="00B050"/>
          </a:solidFill>
          <a:ln>
            <a:noFill/>
          </a:ln>
          <a:effectLst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Pivots!$F$6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1E-4EAF-AAA8-D5D42567FB7B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1E-4EAF-AAA8-D5D42567FB7B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1E-4EAF-AAA8-D5D42567FB7B}"/>
              </c:ext>
            </c:extLst>
          </c:dPt>
          <c:dLbls>
            <c:delete val="1"/>
          </c:dLbls>
          <c:cat>
            <c:strRef>
              <c:f>Pivots!$E$7:$E$10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Pivots!$F$7:$F$10</c:f>
              <c:numCache>
                <c:formatCode>General</c:formatCode>
                <c:ptCount val="3"/>
                <c:pt idx="0">
                  <c:v>8</c:v>
                </c:pt>
                <c:pt idx="1">
                  <c:v>15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1E-4EAF-AAA8-D5D42567FB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9607092684262"/>
          <c:y val="0.29827771546652643"/>
          <c:w val="0.27296272344047229"/>
          <c:h val="0.539875005524492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Disribution of Order Status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rgbClr val="FF0000"/>
          </a:solidFill>
          <a:ln>
            <a:noFill/>
          </a:ln>
          <a:effectLst/>
        </c:spPr>
      </c:pivotFmt>
      <c:pivotFmt>
        <c:idx val="18"/>
        <c:spPr>
          <a:solidFill>
            <a:srgbClr val="0070C0"/>
          </a:solidFill>
          <a:ln>
            <a:noFill/>
          </a:ln>
          <a:effectLst/>
        </c:spPr>
      </c:pivotFmt>
      <c:pivotFmt>
        <c:idx val="19"/>
        <c:spPr>
          <a:solidFill>
            <a:srgbClr val="00B050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Pivots!$F$12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028-4FDD-8C2B-A854D1AD5F95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28-4FDD-8C2B-A854D1AD5F95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28-4FDD-8C2B-A854D1AD5F95}"/>
              </c:ext>
            </c:extLst>
          </c:dPt>
          <c:cat>
            <c:strRef>
              <c:f>Pivots!$E$13:$E$16</c:f>
              <c:strCache>
                <c:ptCount val="3"/>
                <c:pt idx="0">
                  <c:v>Cancelled</c:v>
                </c:pt>
                <c:pt idx="1">
                  <c:v>Processing</c:v>
                </c:pt>
                <c:pt idx="2">
                  <c:v>Shipped</c:v>
                </c:pt>
              </c:strCache>
            </c:strRef>
          </c:cat>
          <c:val>
            <c:numRef>
              <c:f>Pivots!$F$13:$F$16</c:f>
              <c:numCache>
                <c:formatCode>General</c:formatCode>
                <c:ptCount val="3"/>
                <c:pt idx="0">
                  <c:v>6</c:v>
                </c:pt>
                <c:pt idx="1">
                  <c:v>18</c:v>
                </c:pt>
                <c:pt idx="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28-4FDD-8C2B-A854D1AD5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Distribution of Shiping Method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Pivots!$F$18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A64-471B-A459-007DEB00D8BA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A64-471B-A459-007DEB00D8BA}"/>
              </c:ext>
            </c:extLst>
          </c:dPt>
          <c:cat>
            <c:strRef>
              <c:f>Pivots!$E$19:$E$21</c:f>
              <c:strCache>
                <c:ptCount val="2"/>
                <c:pt idx="0">
                  <c:v>Air</c:v>
                </c:pt>
                <c:pt idx="1">
                  <c:v>Ground</c:v>
                </c:pt>
              </c:strCache>
            </c:strRef>
          </c:cat>
          <c:val>
            <c:numRef>
              <c:f>Pivots!$F$19:$F$21</c:f>
              <c:numCache>
                <c:formatCode>General</c:formatCode>
                <c:ptCount val="2"/>
                <c:pt idx="0">
                  <c:v>27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64-471B-A459-007DEB00D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Category with Highest Order Quantity</a:t>
            </a:r>
          </a:p>
        </c:rich>
      </c:tx>
      <c:layout>
        <c:manualLayout>
          <c:xMode val="edge"/>
          <c:yMode val="edge"/>
          <c:x val="0.15561111111111112"/>
          <c:y val="0.14249781277340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Pivots!$F$23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Pivots!$E$24:$E$31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Pivots!$F$24:$F$31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16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3B-42A5-A506-835745952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288496"/>
        <c:axId val="594292432"/>
        <c:axId val="0"/>
      </c:bar3DChart>
      <c:catAx>
        <c:axId val="59428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2432"/>
        <c:crosses val="autoZero"/>
        <c:auto val="1"/>
        <c:lblAlgn val="ctr"/>
        <c:lblOffset val="100"/>
        <c:noMultiLvlLbl val="0"/>
      </c:catAx>
      <c:valAx>
        <c:axId val="59429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8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[First_Dashboard.xlsx]Pivots!PivotTable5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 of Product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Pivots!$F$33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Pivots!$E$34:$E$41</c:f>
              <c:strCache>
                <c:ptCount val="7"/>
                <c:pt idx="0">
                  <c:v>BMX Bikes</c:v>
                </c:pt>
                <c:pt idx="1">
                  <c:v>E-Bikes</c:v>
                </c:pt>
                <c:pt idx="2">
                  <c:v>Hybrid Bikes</c:v>
                </c:pt>
                <c:pt idx="3">
                  <c:v>Kids Bikes</c:v>
                </c:pt>
                <c:pt idx="4">
                  <c:v>Mountain Bikes</c:v>
                </c:pt>
                <c:pt idx="5">
                  <c:v>Road Bikes</c:v>
                </c:pt>
                <c:pt idx="6">
                  <c:v>Touring Bikes</c:v>
                </c:pt>
              </c:strCache>
            </c:strRef>
          </c:cat>
          <c:val>
            <c:numRef>
              <c:f>Pivots!$F$34:$F$41</c:f>
              <c:numCache>
                <c:formatCode>General</c:formatCode>
                <c:ptCount val="7"/>
                <c:pt idx="0">
                  <c:v>2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16</c:v>
                </c:pt>
                <c:pt idx="5">
                  <c:v>12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13-4E26-8F01-7F446942D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9603120"/>
        <c:axId val="459598200"/>
        <c:axId val="0"/>
      </c:bar3DChart>
      <c:catAx>
        <c:axId val="45960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598200"/>
        <c:crosses val="autoZero"/>
        <c:auto val="1"/>
        <c:lblAlgn val="ctr"/>
        <c:lblOffset val="100"/>
        <c:noMultiLvlLbl val="0"/>
      </c:catAx>
      <c:valAx>
        <c:axId val="459598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0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[First_Dashboard.xlsx]Pivots!PivotTable11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ordered Color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Pivots!$F$43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Pivots!$E$44:$E$52</c:f>
              <c:strCache>
                <c:ptCount val="8"/>
                <c:pt idx="0">
                  <c:v>Black</c:v>
                </c:pt>
                <c:pt idx="1">
                  <c:v>Blue</c:v>
                </c:pt>
                <c:pt idx="2">
                  <c:v>Green</c:v>
                </c:pt>
                <c:pt idx="3">
                  <c:v>Orange</c:v>
                </c:pt>
                <c:pt idx="4">
                  <c:v>Red</c:v>
                </c:pt>
                <c:pt idx="5">
                  <c:v>Silver</c:v>
                </c:pt>
                <c:pt idx="6">
                  <c:v>White</c:v>
                </c:pt>
                <c:pt idx="7">
                  <c:v>Yellow</c:v>
                </c:pt>
              </c:strCache>
            </c:strRef>
          </c:cat>
          <c:val>
            <c:numRef>
              <c:f>Pivots!$F$44:$F$52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12</c:v>
                </c:pt>
                <c:pt idx="3">
                  <c:v>13</c:v>
                </c:pt>
                <c:pt idx="4">
                  <c:v>9</c:v>
                </c:pt>
                <c:pt idx="5">
                  <c:v>3</c:v>
                </c:pt>
                <c:pt idx="6">
                  <c:v>8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0-4211-B6BE-9F2689A29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66665272"/>
        <c:axId val="467675656"/>
        <c:axId val="0"/>
      </c:bar3DChart>
      <c:catAx>
        <c:axId val="466665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675656"/>
        <c:crosses val="autoZero"/>
        <c:auto val="1"/>
        <c:lblAlgn val="ctr"/>
        <c:lblOffset val="100"/>
        <c:noMultiLvlLbl val="0"/>
      </c:catAx>
      <c:valAx>
        <c:axId val="467675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665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shade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1297459</xdr:colOff>
      <xdr:row>0</xdr:row>
      <xdr:rowOff>0</xdr:rowOff>
    </xdr:from>
    <xdr:to>
      <xdr:col>85</xdr:col>
      <xdr:colOff>66645</xdr:colOff>
      <xdr:row>146</xdr:row>
      <xdr:rowOff>15149</xdr:rowOff>
    </xdr:to>
    <xdr:sp macro="" textlink="">
      <xdr:nvSpPr>
        <xdr:cNvPr id="4" name="Rectangle 1"/>
        <xdr:cNvSpPr/>
      </xdr:nvSpPr>
      <xdr:spPr>
        <a:xfrm>
          <a:off x="1626973" y="0"/>
          <a:ext cx="51470753" cy="270764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1400432</xdr:colOff>
      <xdr:row>145</xdr:row>
      <xdr:rowOff>182561</xdr:rowOff>
    </xdr:to>
    <xdr:sp macro="" textlink="">
      <xdr:nvSpPr>
        <xdr:cNvPr id="3" name="Rectangle 2"/>
        <xdr:cNvSpPr/>
      </xdr:nvSpPr>
      <xdr:spPr>
        <a:xfrm>
          <a:off x="0" y="0"/>
          <a:ext cx="1729946" cy="27058507"/>
        </a:xfrm>
        <a:prstGeom prst="rect">
          <a:avLst/>
        </a:prstGeom>
        <a:solidFill>
          <a:schemeClr val="accent5">
            <a:lumMod val="50000"/>
          </a:schemeClr>
        </a:solidFill>
        <a:effectLst>
          <a:outerShdw blurRad="50800" dist="38100" algn="l" rotWithShape="0">
            <a:srgbClr val="00206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188622</xdr:colOff>
      <xdr:row>2</xdr:row>
      <xdr:rowOff>17224</xdr:rowOff>
    </xdr:from>
    <xdr:to>
      <xdr:col>1</xdr:col>
      <xdr:colOff>1395122</xdr:colOff>
      <xdr:row>4</xdr:row>
      <xdr:rowOff>63501</xdr:rowOff>
    </xdr:to>
    <xdr:sp macro="" textlink="Pivots!F4">
      <xdr:nvSpPr>
        <xdr:cNvPr id="6" name="TextBox 5"/>
        <xdr:cNvSpPr txBox="1"/>
      </xdr:nvSpPr>
      <xdr:spPr>
        <a:xfrm>
          <a:off x="188622" y="386679"/>
          <a:ext cx="1529773" cy="4157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C353A81-5863-4970-A315-36319AFF2996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$147.8k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7</xdr:row>
      <xdr:rowOff>169184</xdr:rowOff>
    </xdr:from>
    <xdr:to>
      <xdr:col>1</xdr:col>
      <xdr:colOff>1395122</xdr:colOff>
      <xdr:row>9</xdr:row>
      <xdr:rowOff>149076</xdr:rowOff>
    </xdr:to>
    <xdr:sp macro="" textlink="Pivots!G4">
      <xdr:nvSpPr>
        <xdr:cNvPr id="7" name="TextBox 6"/>
        <xdr:cNvSpPr txBox="1"/>
      </xdr:nvSpPr>
      <xdr:spPr>
        <a:xfrm>
          <a:off x="188622" y="1462275"/>
          <a:ext cx="1529773" cy="3493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63ECDBD-8241-4EA0-BAAF-7050B51BAAFA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48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12</xdr:row>
      <xdr:rowOff>86697</xdr:rowOff>
    </xdr:from>
    <xdr:to>
      <xdr:col>1</xdr:col>
      <xdr:colOff>1395122</xdr:colOff>
      <xdr:row>14</xdr:row>
      <xdr:rowOff>133793</xdr:rowOff>
    </xdr:to>
    <xdr:sp macro="" textlink="Pivots!H4">
      <xdr:nvSpPr>
        <xdr:cNvPr id="8" name="TextBox 7"/>
        <xdr:cNvSpPr txBox="1"/>
      </xdr:nvSpPr>
      <xdr:spPr>
        <a:xfrm>
          <a:off x="188622" y="2303424"/>
          <a:ext cx="1529773" cy="4165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71129BC-DF5B-4A8D-9CE1-C689B964B399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48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17</xdr:row>
      <xdr:rowOff>95251</xdr:rowOff>
    </xdr:from>
    <xdr:to>
      <xdr:col>1</xdr:col>
      <xdr:colOff>1395122</xdr:colOff>
      <xdr:row>19</xdr:row>
      <xdr:rowOff>71437</xdr:rowOff>
    </xdr:to>
    <xdr:sp macro="" textlink="Pivots!I4">
      <xdr:nvSpPr>
        <xdr:cNvPr id="9" name="TextBox 8"/>
        <xdr:cNvSpPr txBox="1"/>
      </xdr:nvSpPr>
      <xdr:spPr>
        <a:xfrm>
          <a:off x="188622" y="3235615"/>
          <a:ext cx="1529773" cy="345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5E7D197-CB86-4AA7-8DDF-C2D16DF2985D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2.8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16</xdr:row>
      <xdr:rowOff>122463</xdr:rowOff>
    </xdr:from>
    <xdr:to>
      <xdr:col>2</xdr:col>
      <xdr:colOff>133059</xdr:colOff>
      <xdr:row>17</xdr:row>
      <xdr:rowOff>130400</xdr:rowOff>
    </xdr:to>
    <xdr:sp macro="" textlink="">
      <xdr:nvSpPr>
        <xdr:cNvPr id="2" name="TextBox 1"/>
        <xdr:cNvSpPr txBox="1"/>
      </xdr:nvSpPr>
      <xdr:spPr>
        <a:xfrm>
          <a:off x="188622" y="3078099"/>
          <a:ext cx="1953346" cy="192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Avg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Shipping Time</a:t>
          </a:r>
        </a:p>
      </xdr:txBody>
    </xdr:sp>
    <xdr:clientData/>
  </xdr:twoCellAnchor>
  <xdr:twoCellAnchor>
    <xdr:from>
      <xdr:col>0</xdr:col>
      <xdr:colOff>188622</xdr:colOff>
      <xdr:row>11</xdr:row>
      <xdr:rowOff>121858</xdr:rowOff>
    </xdr:from>
    <xdr:to>
      <xdr:col>2</xdr:col>
      <xdr:colOff>133059</xdr:colOff>
      <xdr:row>12</xdr:row>
      <xdr:rowOff>129796</xdr:rowOff>
    </xdr:to>
    <xdr:sp macro="" textlink="">
      <xdr:nvSpPr>
        <xdr:cNvPr id="10" name="TextBox 9"/>
        <xdr:cNvSpPr txBox="1"/>
      </xdr:nvSpPr>
      <xdr:spPr>
        <a:xfrm>
          <a:off x="188622" y="2153858"/>
          <a:ext cx="1953346" cy="192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Customers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188622</xdr:colOff>
      <xdr:row>7</xdr:row>
      <xdr:rowOff>5895</xdr:rowOff>
    </xdr:from>
    <xdr:to>
      <xdr:col>2</xdr:col>
      <xdr:colOff>133059</xdr:colOff>
      <xdr:row>8</xdr:row>
      <xdr:rowOff>13833</xdr:rowOff>
    </xdr:to>
    <xdr:sp macro="" textlink="">
      <xdr:nvSpPr>
        <xdr:cNvPr id="11" name="TextBox 10"/>
        <xdr:cNvSpPr txBox="1"/>
      </xdr:nvSpPr>
      <xdr:spPr>
        <a:xfrm>
          <a:off x="188622" y="1298986"/>
          <a:ext cx="1953346" cy="1926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Orders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188622</xdr:colOff>
      <xdr:row>1</xdr:row>
      <xdr:rowOff>52387</xdr:rowOff>
    </xdr:from>
    <xdr:to>
      <xdr:col>2</xdr:col>
      <xdr:colOff>133059</xdr:colOff>
      <xdr:row>2</xdr:row>
      <xdr:rowOff>60325</xdr:rowOff>
    </xdr:to>
    <xdr:sp macro="" textlink="">
      <xdr:nvSpPr>
        <xdr:cNvPr id="12" name="TextBox 11"/>
        <xdr:cNvSpPr txBox="1"/>
      </xdr:nvSpPr>
      <xdr:spPr>
        <a:xfrm>
          <a:off x="188622" y="237114"/>
          <a:ext cx="1953346" cy="192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 Revenue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1516953</xdr:colOff>
      <xdr:row>0</xdr:row>
      <xdr:rowOff>84134</xdr:rowOff>
    </xdr:from>
    <xdr:to>
      <xdr:col>8</xdr:col>
      <xdr:colOff>565408</xdr:colOff>
      <xdr:row>16</xdr:row>
      <xdr:rowOff>8498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98727</xdr:rowOff>
    </xdr:from>
    <xdr:to>
      <xdr:col>15</xdr:col>
      <xdr:colOff>468545</xdr:colOff>
      <xdr:row>16</xdr:row>
      <xdr:rowOff>23091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1563454</xdr:colOff>
      <xdr:row>16</xdr:row>
      <xdr:rowOff>75637</xdr:rowOff>
    </xdr:from>
    <xdr:to>
      <xdr:col>9</xdr:col>
      <xdr:colOff>0</xdr:colOff>
      <xdr:row>32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392546</xdr:colOff>
      <xdr:row>17</xdr:row>
      <xdr:rowOff>0</xdr:rowOff>
    </xdr:from>
    <xdr:to>
      <xdr:col>16</xdr:col>
      <xdr:colOff>249182</xdr:colOff>
      <xdr:row>32</xdr:row>
      <xdr:rowOff>109091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143364</xdr:colOff>
      <xdr:row>0</xdr:row>
      <xdr:rowOff>133363</xdr:rowOff>
    </xdr:from>
    <xdr:to>
      <xdr:col>23</xdr:col>
      <xdr:colOff>0</xdr:colOff>
      <xdr:row>16</xdr:row>
      <xdr:rowOff>57727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420455</xdr:colOff>
      <xdr:row>17</xdr:row>
      <xdr:rowOff>138545</xdr:rowOff>
    </xdr:from>
    <xdr:to>
      <xdr:col>23</xdr:col>
      <xdr:colOff>277091</xdr:colOff>
      <xdr:row>33</xdr:row>
      <xdr:rowOff>62909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369455</xdr:colOff>
      <xdr:row>0</xdr:row>
      <xdr:rowOff>75636</xdr:rowOff>
    </xdr:from>
    <xdr:to>
      <xdr:col>30</xdr:col>
      <xdr:colOff>226092</xdr:colOff>
      <xdr:row>16</xdr:row>
      <xdr:rowOff>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392545</xdr:colOff>
      <xdr:row>18</xdr:row>
      <xdr:rowOff>23091</xdr:rowOff>
    </xdr:from>
    <xdr:to>
      <xdr:col>31</xdr:col>
      <xdr:colOff>69273</xdr:colOff>
      <xdr:row>32</xdr:row>
      <xdr:rowOff>180109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1534609</xdr:colOff>
      <xdr:row>32</xdr:row>
      <xdr:rowOff>126999</xdr:rowOff>
    </xdr:from>
    <xdr:to>
      <xdr:col>9</xdr:col>
      <xdr:colOff>403155</xdr:colOff>
      <xdr:row>47</xdr:row>
      <xdr:rowOff>99290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553246</xdr:colOff>
      <xdr:row>34</xdr:row>
      <xdr:rowOff>11546</xdr:rowOff>
    </xdr:from>
    <xdr:to>
      <xdr:col>17</xdr:col>
      <xdr:colOff>464434</xdr:colOff>
      <xdr:row>48</xdr:row>
      <xdr:rowOff>168564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1424454</xdr:colOff>
      <xdr:row>0</xdr:row>
      <xdr:rowOff>11543</xdr:rowOff>
    </xdr:from>
    <xdr:to>
      <xdr:col>85</xdr:col>
      <xdr:colOff>193640</xdr:colOff>
      <xdr:row>146</xdr:row>
      <xdr:rowOff>26692</xdr:rowOff>
    </xdr:to>
    <xdr:sp macro="" textlink="">
      <xdr:nvSpPr>
        <xdr:cNvPr id="2" name="Rectangle 1"/>
        <xdr:cNvSpPr/>
      </xdr:nvSpPr>
      <xdr:spPr>
        <a:xfrm>
          <a:off x="1747727" y="11543"/>
          <a:ext cx="50977731" cy="2698533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</xdr:col>
      <xdr:colOff>1400432</xdr:colOff>
      <xdr:row>145</xdr:row>
      <xdr:rowOff>182561</xdr:rowOff>
    </xdr:to>
    <xdr:sp macro="" textlink="">
      <xdr:nvSpPr>
        <xdr:cNvPr id="3" name="Rectangle 2"/>
        <xdr:cNvSpPr/>
      </xdr:nvSpPr>
      <xdr:spPr>
        <a:xfrm>
          <a:off x="0" y="0"/>
          <a:ext cx="1720472" cy="26700161"/>
        </a:xfrm>
        <a:prstGeom prst="rect">
          <a:avLst/>
        </a:prstGeom>
        <a:solidFill>
          <a:schemeClr val="accent5">
            <a:lumMod val="50000"/>
          </a:schemeClr>
        </a:solidFill>
        <a:effectLst>
          <a:outerShdw blurRad="50800" dist="38100" algn="l" rotWithShape="0">
            <a:srgbClr val="002060">
              <a:alpha val="40000"/>
            </a:srgb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188622</xdr:colOff>
      <xdr:row>2</xdr:row>
      <xdr:rowOff>17224</xdr:rowOff>
    </xdr:from>
    <xdr:to>
      <xdr:col>1</xdr:col>
      <xdr:colOff>1395122</xdr:colOff>
      <xdr:row>4</xdr:row>
      <xdr:rowOff>63501</xdr:rowOff>
    </xdr:to>
    <xdr:sp macro="" textlink="Pivots!F4">
      <xdr:nvSpPr>
        <xdr:cNvPr id="4" name="TextBox 3"/>
        <xdr:cNvSpPr txBox="1"/>
      </xdr:nvSpPr>
      <xdr:spPr>
        <a:xfrm>
          <a:off x="188622" y="382984"/>
          <a:ext cx="1526540" cy="412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C353A81-5863-4970-A315-36319AFF2996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$147.8k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7</xdr:row>
      <xdr:rowOff>169184</xdr:rowOff>
    </xdr:from>
    <xdr:to>
      <xdr:col>1</xdr:col>
      <xdr:colOff>1395122</xdr:colOff>
      <xdr:row>9</xdr:row>
      <xdr:rowOff>149076</xdr:rowOff>
    </xdr:to>
    <xdr:sp macro="" textlink="Pivots!G4">
      <xdr:nvSpPr>
        <xdr:cNvPr id="5" name="TextBox 4"/>
        <xdr:cNvSpPr txBox="1"/>
      </xdr:nvSpPr>
      <xdr:spPr>
        <a:xfrm>
          <a:off x="188622" y="1449344"/>
          <a:ext cx="1526540" cy="3456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63ECDBD-8241-4EA0-BAAF-7050B51BAAFA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48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12</xdr:row>
      <xdr:rowOff>86697</xdr:rowOff>
    </xdr:from>
    <xdr:to>
      <xdr:col>1</xdr:col>
      <xdr:colOff>1395122</xdr:colOff>
      <xdr:row>14</xdr:row>
      <xdr:rowOff>133793</xdr:rowOff>
    </xdr:to>
    <xdr:sp macro="" textlink="Pivots!H4">
      <xdr:nvSpPr>
        <xdr:cNvPr id="6" name="TextBox 5"/>
        <xdr:cNvSpPr txBox="1"/>
      </xdr:nvSpPr>
      <xdr:spPr>
        <a:xfrm>
          <a:off x="188622" y="2281257"/>
          <a:ext cx="1526540" cy="4128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C71129BC-DF5B-4A8D-9CE1-C689B964B399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48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17</xdr:row>
      <xdr:rowOff>95251</xdr:rowOff>
    </xdr:from>
    <xdr:to>
      <xdr:col>1</xdr:col>
      <xdr:colOff>1395122</xdr:colOff>
      <xdr:row>19</xdr:row>
      <xdr:rowOff>71437</xdr:rowOff>
    </xdr:to>
    <xdr:sp macro="" textlink="Pivots!I4">
      <xdr:nvSpPr>
        <xdr:cNvPr id="7" name="TextBox 6"/>
        <xdr:cNvSpPr txBox="1"/>
      </xdr:nvSpPr>
      <xdr:spPr>
        <a:xfrm>
          <a:off x="188622" y="3204211"/>
          <a:ext cx="1526540" cy="3419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5E7D197-CB86-4AA7-8DDF-C2D16DF2985D}" type="TxLink">
            <a:rPr lang="en-US" sz="1800" b="0" i="0" u="none" strike="noStrike" cap="none" spc="0">
              <a:ln w="0"/>
              <a:gradFill>
                <a:gsLst>
                  <a:gs pos="0">
                    <a:srgbClr val="53575C"/>
                  </a:gs>
                  <a:gs pos="100000">
                    <a:srgbClr val="C5C7CA"/>
                  </a:gs>
                </a:gsLst>
                <a:lin ang="5400000"/>
              </a:gradFill>
              <a:effectLst/>
              <a:latin typeface="Arial Black" panose="020B0A04020102020204" pitchFamily="34" charset="0"/>
              <a:ea typeface="Calibri"/>
              <a:cs typeface="Calibri"/>
            </a:rPr>
            <a:pPr algn="l"/>
            <a:t>2.8</a:t>
          </a:fld>
          <a:endParaRPr lang="en-IN" sz="1800" b="0" cap="none" spc="0">
            <a:ln w="0"/>
            <a:gradFill>
              <a:gsLst>
                <a:gs pos="0">
                  <a:srgbClr val="53575C"/>
                </a:gs>
                <a:gs pos="100000">
                  <a:srgbClr val="C5C7CA"/>
                </a:gs>
              </a:gsLst>
              <a:lin ang="5400000"/>
            </a:gradFill>
            <a:effectLst/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188622</xdr:colOff>
      <xdr:row>16</xdr:row>
      <xdr:rowOff>122463</xdr:rowOff>
    </xdr:from>
    <xdr:to>
      <xdr:col>2</xdr:col>
      <xdr:colOff>133059</xdr:colOff>
      <xdr:row>17</xdr:row>
      <xdr:rowOff>130400</xdr:rowOff>
    </xdr:to>
    <xdr:sp macro="" textlink="">
      <xdr:nvSpPr>
        <xdr:cNvPr id="8" name="TextBox 7"/>
        <xdr:cNvSpPr txBox="1"/>
      </xdr:nvSpPr>
      <xdr:spPr>
        <a:xfrm>
          <a:off x="188622" y="3048543"/>
          <a:ext cx="1948497" cy="190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Avg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Shipping Time</a:t>
          </a:r>
        </a:p>
      </xdr:txBody>
    </xdr:sp>
    <xdr:clientData/>
  </xdr:twoCellAnchor>
  <xdr:twoCellAnchor>
    <xdr:from>
      <xdr:col>0</xdr:col>
      <xdr:colOff>188622</xdr:colOff>
      <xdr:row>11</xdr:row>
      <xdr:rowOff>121858</xdr:rowOff>
    </xdr:from>
    <xdr:to>
      <xdr:col>2</xdr:col>
      <xdr:colOff>133059</xdr:colOff>
      <xdr:row>12</xdr:row>
      <xdr:rowOff>129796</xdr:rowOff>
    </xdr:to>
    <xdr:sp macro="" textlink="">
      <xdr:nvSpPr>
        <xdr:cNvPr id="9" name="TextBox 8"/>
        <xdr:cNvSpPr txBox="1"/>
      </xdr:nvSpPr>
      <xdr:spPr>
        <a:xfrm>
          <a:off x="188622" y="2133538"/>
          <a:ext cx="1948497" cy="190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Customers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188622</xdr:colOff>
      <xdr:row>7</xdr:row>
      <xdr:rowOff>5895</xdr:rowOff>
    </xdr:from>
    <xdr:to>
      <xdr:col>2</xdr:col>
      <xdr:colOff>133059</xdr:colOff>
      <xdr:row>8</xdr:row>
      <xdr:rowOff>13833</xdr:rowOff>
    </xdr:to>
    <xdr:sp macro="" textlink="">
      <xdr:nvSpPr>
        <xdr:cNvPr id="10" name="TextBox 9"/>
        <xdr:cNvSpPr txBox="1"/>
      </xdr:nvSpPr>
      <xdr:spPr>
        <a:xfrm>
          <a:off x="188622" y="1286055"/>
          <a:ext cx="1948497" cy="190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</a:t>
          </a:r>
          <a:r>
            <a:rPr lang="en-IN" sz="1100" b="0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Orders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188622</xdr:colOff>
      <xdr:row>1</xdr:row>
      <xdr:rowOff>52387</xdr:rowOff>
    </xdr:from>
    <xdr:to>
      <xdr:col>2</xdr:col>
      <xdr:colOff>133059</xdr:colOff>
      <xdr:row>2</xdr:row>
      <xdr:rowOff>60325</xdr:rowOff>
    </xdr:to>
    <xdr:sp macro="" textlink="">
      <xdr:nvSpPr>
        <xdr:cNvPr id="11" name="TextBox 10"/>
        <xdr:cNvSpPr txBox="1"/>
      </xdr:nvSpPr>
      <xdr:spPr>
        <a:xfrm>
          <a:off x="188622" y="235267"/>
          <a:ext cx="1948497" cy="190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Total Revenue</a:t>
          </a:r>
          <a:endParaRPr lang="en-IN" sz="11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23</xdr:col>
      <xdr:colOff>477861</xdr:colOff>
      <xdr:row>25</xdr:row>
      <xdr:rowOff>14857</xdr:rowOff>
    </xdr:from>
    <xdr:to>
      <xdr:col>30</xdr:col>
      <xdr:colOff>334498</xdr:colOff>
      <xdr:row>48</xdr:row>
      <xdr:rowOff>158130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461816</xdr:colOff>
      <xdr:row>0</xdr:row>
      <xdr:rowOff>179538</xdr:rowOff>
    </xdr:from>
    <xdr:to>
      <xdr:col>30</xdr:col>
      <xdr:colOff>318453</xdr:colOff>
      <xdr:row>24</xdr:row>
      <xdr:rowOff>138083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339636</xdr:colOff>
      <xdr:row>33</xdr:row>
      <xdr:rowOff>75632</xdr:rowOff>
    </xdr:from>
    <xdr:to>
      <xdr:col>23</xdr:col>
      <xdr:colOff>196272</xdr:colOff>
      <xdr:row>48</xdr:row>
      <xdr:rowOff>184723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227077</xdr:colOff>
      <xdr:row>33</xdr:row>
      <xdr:rowOff>69268</xdr:rowOff>
    </xdr:from>
    <xdr:to>
      <xdr:col>16</xdr:col>
      <xdr:colOff>83713</xdr:colOff>
      <xdr:row>48</xdr:row>
      <xdr:rowOff>178359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1598091</xdr:colOff>
      <xdr:row>0</xdr:row>
      <xdr:rowOff>138540</xdr:rowOff>
    </xdr:from>
    <xdr:to>
      <xdr:col>9</xdr:col>
      <xdr:colOff>34637</xdr:colOff>
      <xdr:row>16</xdr:row>
      <xdr:rowOff>62904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272606</xdr:colOff>
      <xdr:row>0</xdr:row>
      <xdr:rowOff>138540</xdr:rowOff>
    </xdr:from>
    <xdr:to>
      <xdr:col>16</xdr:col>
      <xdr:colOff>129242</xdr:colOff>
      <xdr:row>16</xdr:row>
      <xdr:rowOff>62904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367211</xdr:colOff>
      <xdr:row>0</xdr:row>
      <xdr:rowOff>161631</xdr:rowOff>
    </xdr:from>
    <xdr:to>
      <xdr:col>23</xdr:col>
      <xdr:colOff>223847</xdr:colOff>
      <xdr:row>16</xdr:row>
      <xdr:rowOff>85995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1604819</xdr:colOff>
      <xdr:row>17</xdr:row>
      <xdr:rowOff>17312</xdr:rowOff>
    </xdr:from>
    <xdr:to>
      <xdr:col>12</xdr:col>
      <xdr:colOff>185637</xdr:colOff>
      <xdr:row>32</xdr:row>
      <xdr:rowOff>126403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1534609</xdr:colOff>
      <xdr:row>33</xdr:row>
      <xdr:rowOff>80812</xdr:rowOff>
    </xdr:from>
    <xdr:to>
      <xdr:col>8</xdr:col>
      <xdr:colOff>583064</xdr:colOff>
      <xdr:row>49</xdr:row>
      <xdr:rowOff>5176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236681</xdr:colOff>
      <xdr:row>17</xdr:row>
      <xdr:rowOff>11538</xdr:rowOff>
    </xdr:from>
    <xdr:to>
      <xdr:col>23</xdr:col>
      <xdr:colOff>237590</xdr:colOff>
      <xdr:row>32</xdr:row>
      <xdr:rowOff>120629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uqayya Khan" refreshedDate="46213.884818171297" createdVersion="6" refreshedVersion="6" minRefreshableVersion="3" recordCount="50">
  <cacheSource type="worksheet">
    <worksheetSource ref="A1:X1048576" sheet="Data"/>
  </cacheSource>
  <cacheFields count="24">
    <cacheField name="Product ID" numFmtId="0">
      <sharedItems containsString="0" containsBlank="1" containsNumber="1" containsInteger="1" minValue="1001" maxValue="1108"/>
    </cacheField>
    <cacheField name="Product Category" numFmtId="0">
      <sharedItems containsBlank="1"/>
    </cacheField>
    <cacheField name="Product Subcategory" numFmtId="0">
      <sharedItems containsBlank="1"/>
    </cacheField>
    <cacheField name="Product Name" numFmtId="0">
      <sharedItems containsBlank="1"/>
    </cacheField>
    <cacheField name="Product Description" numFmtId="0">
      <sharedItems containsBlank="1"/>
    </cacheField>
    <cacheField name="Product Price" numFmtId="0">
      <sharedItems containsString="0" containsBlank="1" containsNumber="1" containsInteger="1" minValue="150" maxValue="94450"/>
    </cacheField>
    <cacheField name="Product Weight" numFmtId="0">
      <sharedItems containsString="0" containsBlank="1" containsNumber="1" containsInteger="1" minValue="9" maxValue="42"/>
    </cacheField>
    <cacheField name="Product Size" numFmtId="0">
      <sharedItems containsBlank="1"/>
    </cacheField>
    <cacheField name="Product Region" numFmtId="0">
      <sharedItems containsBlank="1"/>
    </cacheField>
    <cacheField name="Product Color" numFmtId="0">
      <sharedItems containsBlank="1"/>
    </cacheField>
    <cacheField name="Product Stock" numFmtId="0">
      <sharedItems containsString="0" containsBlank="1" containsNumber="1" containsInteger="1" minValue="15" maxValue="50"/>
    </cacheField>
    <cacheField name="Order ID" numFmtId="0">
      <sharedItems containsString="0" containsBlank="1" containsNumber="1" containsInteger="1" minValue="2001" maxValue="2108"/>
    </cacheField>
    <cacheField name="Customer ID" numFmtId="0">
      <sharedItems containsString="0" containsBlank="1" containsNumber="1" containsInteger="1" minValue="3001" maxValue="3108"/>
    </cacheField>
    <cacheField name="Customer Name" numFmtId="0">
      <sharedItems containsBlank="1"/>
    </cacheField>
    <cacheField name="Customer Location" numFmtId="0">
      <sharedItems containsBlank="1"/>
    </cacheField>
    <cacheField name="Order Date" numFmtId="0">
      <sharedItems containsNonDate="0" containsDate="1" containsString="0" containsBlank="1" minDate="2024-02-01T00:00:00" maxDate="2024-03-29T00:00:00"/>
    </cacheField>
    <cacheField name="Order Status" numFmtId="0">
      <sharedItems containsBlank="1"/>
    </cacheField>
    <cacheField name="Order Quantity" numFmtId="0">
      <sharedItems containsString="0" containsBlank="1" containsNumber="1" containsInteger="1" minValue="1" maxValue="3"/>
    </cacheField>
    <cacheField name="Order Total" numFmtId="0">
      <sharedItems containsString="0" containsBlank="1" containsNumber="1" containsInteger="1" minValue="200" maxValue="8400"/>
    </cacheField>
    <cacheField name="Payment Method" numFmtId="0">
      <sharedItems containsBlank="1"/>
    </cacheField>
    <cacheField name="Shipping Method" numFmtId="0">
      <sharedItems containsBlank="1"/>
    </cacheField>
    <cacheField name="Shipping Time (in Days)" numFmtId="0">
      <sharedItems containsString="0" containsBlank="1" containsNumber="1" containsInteger="1" minValue="1" maxValue="5"/>
    </cacheField>
    <cacheField name="Estimated Delivery Date" numFmtId="0">
      <sharedItems containsNonDate="0" containsDate="1" containsString="0" containsBlank="1" minDate="2024-02-09T00:00:00" maxDate="2024-04-20T00:00:00"/>
    </cacheField>
    <cacheField name="Customer Feedbac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uqayya Khan" refreshedDate="46214.995592129628" createdVersion="6" refreshedVersion="6" minRefreshableVersion="3" recordCount="48">
  <cacheSource type="worksheet">
    <worksheetSource ref="A1:X49" sheet="Data"/>
  </cacheSource>
  <cacheFields count="24">
    <cacheField name="Product ID" numFmtId="0">
      <sharedItems containsSemiMixedTypes="0" containsString="0" containsNumber="1" containsInteger="1" minValue="1001" maxValue="1108"/>
    </cacheField>
    <cacheField name="Product Category" numFmtId="0">
      <sharedItems count="7">
        <s v="Mountain Bikes"/>
        <s v="Road Bikes"/>
        <s v="Touring Bikes"/>
        <s v="E-Bikes"/>
        <s v="Hybrid Bikes"/>
        <s v="Kids Bikes"/>
        <s v="BMX Bikes"/>
      </sharedItems>
    </cacheField>
    <cacheField name="Product Subcategory" numFmtId="0">
      <sharedItems/>
    </cacheField>
    <cacheField name="Product Name" numFmtId="0">
      <sharedItems count="48">
        <s v="TrailBlazer 1000"/>
        <s v="TrailBlazer 2000"/>
        <s v="SpeedMaster 1000"/>
        <s v="SpeedMaster 2000"/>
        <s v="Explorer 1000"/>
        <s v="Explorer 2000"/>
        <s v="GravityMaster 1000"/>
        <s v="GravityMaster 2000"/>
        <s v="Pathfinder 1000"/>
        <s v="Pathfinder 2000"/>
        <s v="Voyager 1000"/>
        <s v="Voyager 2000"/>
        <s v="Adventurer 1000"/>
        <s v="Adventurer 2000"/>
        <s v="EnduroMaster 1000"/>
        <s v="EnduroMaster 2000"/>
        <s v="FatTrail 1000"/>
        <s v="FatTrail 2000"/>
        <s v="CrossRider 1000"/>
        <s v="CrossRider 2000"/>
        <s v="DuoExplorer 1000"/>
        <s v="DuoExplorer 2000"/>
        <s v="E-Mountain 1000"/>
        <s v="E-Mountain 2000"/>
        <s v="UrbanEco 1000"/>
        <s v="UrbanEco 2000"/>
        <s v="GravelMaster 1000"/>
        <s v="GravelMaster 2000"/>
        <s v="FoldAway 1000"/>
        <s v="FoldAway 2000"/>
        <s v="E-TrailBlazer 1000"/>
        <s v="E-TrailBlazer 2000"/>
        <s v="CommutePro 1000"/>
        <s v="CommutePro 2000"/>
        <s v="AeroSpeed 1000"/>
        <s v="AeroSpeed 2000"/>
        <s v="ReclineRider 1000"/>
        <s v="ReclineRider 2000"/>
        <s v="DownhillDominator 1000"/>
        <s v="DownhillDominator 2000"/>
        <s v="LittleBalancer 1000"/>
        <s v="LittleBalancer 2000"/>
        <s v="FreestyleMaster 1000"/>
        <s v="FreestyleMaster 2000"/>
        <s v="XC-Rider 1000"/>
        <s v="XC-Rider 2000"/>
        <s v="EnduranceElite 1000"/>
        <s v="EnduranceElite 2000"/>
      </sharedItems>
    </cacheField>
    <cacheField name="Product Description" numFmtId="0">
      <sharedItems/>
    </cacheField>
    <cacheField name="Product Price" numFmtId="0">
      <sharedItems containsSemiMixedTypes="0" containsString="0" containsNumber="1" containsInteger="1" minValue="150" maxValue="3700"/>
    </cacheField>
    <cacheField name="Product Weight" numFmtId="0">
      <sharedItems containsSemiMixedTypes="0" containsString="0" containsNumber="1" containsInteger="1" minValue="9" maxValue="42"/>
    </cacheField>
    <cacheField name="Product Size" numFmtId="0">
      <sharedItems/>
    </cacheField>
    <cacheField name="Product Region" numFmtId="0">
      <sharedItems count="3">
        <s v="North America"/>
        <s v="Europe"/>
        <s v="Asia"/>
      </sharedItems>
    </cacheField>
    <cacheField name="Product Color" numFmtId="0">
      <sharedItems count="8">
        <s v="Red"/>
        <s v="Blue"/>
        <s v="Yellow"/>
        <s v="Black"/>
        <s v="Green"/>
        <s v="Orange"/>
        <s v="White"/>
        <s v="Silver"/>
      </sharedItems>
    </cacheField>
    <cacheField name="Product Stock" numFmtId="0">
      <sharedItems containsSemiMixedTypes="0" containsString="0" containsNumber="1" containsInteger="1" minValue="15" maxValue="50"/>
    </cacheField>
    <cacheField name="Order ID" numFmtId="0">
      <sharedItems containsSemiMixedTypes="0" containsString="0" containsNumber="1" containsInteger="1" minValue="2001" maxValue="2108" count="47">
        <n v="2001"/>
        <n v="2002"/>
        <n v="2003"/>
        <n v="2004"/>
        <n v="2005"/>
        <n v="2006"/>
        <n v="2007"/>
        <n v="2008"/>
        <n v="2021"/>
        <n v="2022"/>
        <n v="2024"/>
        <n v="2025"/>
        <n v="2026"/>
        <n v="2027"/>
        <n v="2028"/>
        <n v="2041"/>
        <n v="2042"/>
        <n v="2043"/>
        <n v="2044"/>
        <n v="2045"/>
        <n v="2046"/>
        <n v="2047"/>
        <n v="2048"/>
        <n v="2061"/>
        <n v="2062"/>
        <n v="2063"/>
        <n v="2064"/>
        <n v="2065"/>
        <n v="2066"/>
        <n v="2067"/>
        <n v="2068"/>
        <n v="2081"/>
        <n v="2082"/>
        <n v="2083"/>
        <n v="2084"/>
        <n v="2085"/>
        <n v="2086"/>
        <n v="2087"/>
        <n v="2088"/>
        <n v="2101"/>
        <n v="2102"/>
        <n v="2103"/>
        <n v="2104"/>
        <n v="2105"/>
        <n v="2106"/>
        <n v="2107"/>
        <n v="2108"/>
      </sharedItems>
    </cacheField>
    <cacheField name="Customer ID" numFmtId="0">
      <sharedItems containsSemiMixedTypes="0" containsString="0" containsNumber="1" containsInteger="1" minValue="3001" maxValue="3108" count="48">
        <n v="3001"/>
        <n v="3002"/>
        <n v="3003"/>
        <n v="3004"/>
        <n v="3005"/>
        <n v="3006"/>
        <n v="3007"/>
        <n v="3008"/>
        <n v="3021"/>
        <n v="3022"/>
        <n v="3023"/>
        <n v="3024"/>
        <n v="3025"/>
        <n v="3026"/>
        <n v="3027"/>
        <n v="3028"/>
        <n v="3041"/>
        <n v="3042"/>
        <n v="3043"/>
        <n v="3044"/>
        <n v="3045"/>
        <n v="3046"/>
        <n v="3047"/>
        <n v="3048"/>
        <n v="3061"/>
        <n v="3062"/>
        <n v="3063"/>
        <n v="3064"/>
        <n v="3065"/>
        <n v="3066"/>
        <n v="3067"/>
        <n v="3068"/>
        <n v="3081"/>
        <n v="3082"/>
        <n v="3083"/>
        <n v="3084"/>
        <n v="3085"/>
        <n v="3086"/>
        <n v="3087"/>
        <n v="3088"/>
        <n v="3101"/>
        <n v="3102"/>
        <n v="3103"/>
        <n v="3104"/>
        <n v="3105"/>
        <n v="3106"/>
        <n v="3107"/>
        <n v="3108"/>
      </sharedItems>
    </cacheField>
    <cacheField name="Customer Name" numFmtId="0">
      <sharedItems/>
    </cacheField>
    <cacheField name="Customer Location" numFmtId="0">
      <sharedItems count="19">
        <s v=" USA"/>
        <s v=" UK"/>
        <s v=" Japan"/>
        <s v=" Germany"/>
        <s v=" Spain"/>
        <s v=" China"/>
        <s v=" France"/>
        <s v=" Italy"/>
        <s v=" South Korea"/>
        <s v=" Greece"/>
        <s v=" India"/>
        <s v=" Ireland"/>
        <s v=" Taiwan"/>
        <s v=" Canada"/>
        <s v=" England"/>
        <s v=" Poland"/>
        <s v=" Portugal"/>
        <s v=" Netherlands"/>
        <s v=" Australia"/>
      </sharedItems>
    </cacheField>
    <cacheField name="Order Date" numFmtId="14">
      <sharedItems containsSemiMixedTypes="0" containsNonDate="0" containsDate="1" containsString="0" minDate="2024-02-01T00:00:00" maxDate="2024-03-29T00:00:00"/>
    </cacheField>
    <cacheField name="Order Status" numFmtId="0">
      <sharedItems count="3">
        <s v="Shipped"/>
        <s v="Processing"/>
        <s v="Cancelled"/>
      </sharedItems>
    </cacheField>
    <cacheField name="Order Quantity" numFmtId="0">
      <sharedItems containsSemiMixedTypes="0" containsString="0" containsNumber="1" containsInteger="1" minValue="1" maxValue="3" count="3">
        <n v="2"/>
        <n v="1"/>
        <n v="3"/>
      </sharedItems>
    </cacheField>
    <cacheField name="Order Total" numFmtId="0">
      <sharedItems containsSemiMixedTypes="0" containsString="0" containsNumber="1" containsInteger="1" minValue="200" maxValue="8400" count="32">
        <n v="2400"/>
        <n v="1500"/>
        <n v="5400"/>
        <n v="2100"/>
        <n v="2600"/>
        <n v="1600"/>
        <n v="4400"/>
        <n v="2500"/>
        <n v="2200"/>
        <n v="1400"/>
        <n v="5100"/>
        <n v="2000"/>
        <n v="3000"/>
        <n v="1800"/>
        <n v="4600"/>
        <n v="5700"/>
        <n v="4000"/>
        <n v="2300"/>
        <n v="6000"/>
        <n v="3500"/>
        <n v="6400"/>
        <n v="3700"/>
        <n v="8400"/>
        <n v="3200"/>
        <n v="5800"/>
        <n v="3300"/>
        <n v="300"/>
        <n v="200"/>
        <n v="1200"/>
        <n v="600"/>
        <n v="3600"/>
        <n v="4200"/>
      </sharedItems>
    </cacheField>
    <cacheField name="Payment Method" numFmtId="0">
      <sharedItems/>
    </cacheField>
    <cacheField name="Shipping Method" numFmtId="0">
      <sharedItems count="2">
        <s v="Ground"/>
        <s v="Air"/>
      </sharedItems>
    </cacheField>
    <cacheField name="Shipping Time (in Days)" numFmtId="0">
      <sharedItems containsSemiMixedTypes="0" containsString="0" containsNumber="1" containsInteger="1" minValue="1" maxValue="5"/>
    </cacheField>
    <cacheField name="Estimated Delivery Date" numFmtId="14">
      <sharedItems containsSemiMixedTypes="0" containsNonDate="0" containsDate="1" containsString="0" minDate="2024-02-09T00:00:00" maxDate="2024-04-20T00:00:00"/>
    </cacheField>
    <cacheField name="Customer Feedback" numFmtId="0">
      <sharedItems count="3">
        <s v="Positive"/>
        <s v="Neutral"/>
        <s v="Nega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n v="1001"/>
    <s v="Mountain Bikes"/>
    <s v="Cross Country"/>
    <s v="TrailBlazer 1000"/>
    <s v="Lightweight and versatile"/>
    <n v="1200"/>
    <n v="25"/>
    <s v="M"/>
    <s v="North America"/>
    <s v="Red"/>
    <n v="50"/>
    <n v="2001"/>
    <n v="3001"/>
    <s v="John Doe"/>
    <s v=" USA"/>
    <d v="2024-03-01T00:00:00"/>
    <s v="Shipped"/>
    <n v="2"/>
    <n v="2400"/>
    <s v="Credit Card"/>
    <s v="Ground"/>
    <n v="3"/>
    <d v="2024-03-04T00:00:00"/>
    <s v="Positive"/>
  </r>
  <r>
    <n v="1002"/>
    <s v="Mountain Bikes"/>
    <s v="Cross Country"/>
    <s v="TrailBlazer 2000"/>
    <s v="High-performance mountain bike"/>
    <n v="1500"/>
    <n v="22"/>
    <s v="L"/>
    <s v="Europe"/>
    <s v="Blue"/>
    <n v="20"/>
    <n v="2002"/>
    <n v="3002"/>
    <s v="Jane Smith"/>
    <s v=" UK"/>
    <d v="2024-03-02T00:00:00"/>
    <s v="Processing"/>
    <n v="1"/>
    <n v="1500"/>
    <s v="PayPal"/>
    <s v="Air"/>
    <n v="2"/>
    <d v="2024-03-03T00:00:00"/>
    <s v="Neutral"/>
  </r>
  <r>
    <n v="1003"/>
    <s v="Road Bikes"/>
    <s v="Racing"/>
    <s v="SpeedMaster 1000"/>
    <s v="Agile and aerodynamic road bike"/>
    <n v="1800"/>
    <n v="18"/>
    <s v="M"/>
    <s v="Asia"/>
    <s v="Yellow"/>
    <n v="30"/>
    <n v="2003"/>
    <n v="3003"/>
    <s v="Jack Williams"/>
    <s v=" Japan"/>
    <d v="2024-03-03T00:00:00"/>
    <s v="Cancelled"/>
    <n v="3"/>
    <n v="5400"/>
    <s v="Credit Card"/>
    <s v="Ground"/>
    <n v="5"/>
    <d v="2024-03-07T00:00:00"/>
    <s v="Positive"/>
  </r>
  <r>
    <n v="1004"/>
    <s v="Road Bikes"/>
    <s v="Racing"/>
    <s v="SpeedMaster 2000"/>
    <s v="Premium racing road bike"/>
    <n v="2100"/>
    <n v="16"/>
    <s v="L"/>
    <s v="North America"/>
    <s v="Black"/>
    <n v="40"/>
    <n v="2004"/>
    <n v="3004"/>
    <s v="Mary Johnson"/>
    <s v=" USA"/>
    <d v="2024-03-04T00:00:00"/>
    <s v="Shipped"/>
    <n v="1"/>
    <n v="2100"/>
    <s v="Credit Card"/>
    <s v="Air"/>
    <n v="1"/>
    <d v="2024-03-04T00:00:00"/>
    <s v="Negative"/>
  </r>
  <r>
    <n v="1005"/>
    <s v="Touring Bikes"/>
    <s v="Long Distance"/>
    <s v="Explorer 1000"/>
    <s v="Comfortable and durable touring bike"/>
    <n v="1300"/>
    <n v="27"/>
    <s v="M"/>
    <s v="Europe"/>
    <s v="Green"/>
    <n v="25"/>
    <n v="2005"/>
    <n v="3005"/>
    <s v="Robert Brown"/>
    <s v=" Germany"/>
    <d v="2024-03-05T00:00:00"/>
    <s v="Processing"/>
    <n v="2"/>
    <n v="2600"/>
    <s v="PayPal"/>
    <s v="Ground"/>
    <n v="4"/>
    <d v="2024-03-08T00:00:00"/>
    <s v="Positive"/>
  </r>
  <r>
    <n v="1006"/>
    <s v="Touring Bikes"/>
    <s v="Long Distance"/>
    <s v="Explorer 2000"/>
    <s v="Advanced touring bike"/>
    <n v="1600"/>
    <n v="24"/>
    <s v="L"/>
    <s v="Europe"/>
    <s v="Red"/>
    <n v="15"/>
    <n v="2006"/>
    <n v="3006"/>
    <s v="Emily Taylor"/>
    <s v=" Spain"/>
    <d v="2024-03-06T00:00:00"/>
    <s v="Shipped"/>
    <n v="1"/>
    <n v="1600"/>
    <s v="Credit Card"/>
    <s v="Air"/>
    <n v="2"/>
    <d v="2024-03-07T00:00:00"/>
    <s v="Positive"/>
  </r>
  <r>
    <n v="1007"/>
    <s v="Mountain Bikes"/>
    <s v="Downhill"/>
    <s v="GravityMaster 1000"/>
    <s v="Rugged and durable downhill bike"/>
    <n v="2200"/>
    <n v="29"/>
    <s v="M"/>
    <s v="Asia"/>
    <s v="Orange"/>
    <n v="25"/>
    <n v="2007"/>
    <n v="3007"/>
    <s v="David Miller"/>
    <s v=" China"/>
    <d v="2024-03-07T00:00:00"/>
    <s v="Shipped"/>
    <n v="2"/>
    <n v="4400"/>
    <s v="PayPal"/>
    <s v="Ground"/>
    <n v="5"/>
    <d v="2024-03-11T00:00:00"/>
    <s v="Negative"/>
  </r>
  <r>
    <n v="1008"/>
    <s v="Mountain Bikes"/>
    <s v="Downhill"/>
    <s v="GravityMaster 2000"/>
    <s v="Rugged and durable downhill bike"/>
    <n v="2500"/>
    <n v="27"/>
    <s v="L"/>
    <s v="North America"/>
    <s v="White"/>
    <n v="35"/>
    <n v="2008"/>
    <n v="3008"/>
    <s v="Sarah Wilson"/>
    <s v=" USA"/>
    <d v="2024-03-08T00:00:00"/>
    <s v="Processing"/>
    <n v="1"/>
    <n v="2500"/>
    <s v="Credit Card"/>
    <s v="Air"/>
    <n v="1"/>
    <d v="2024-03-08T00:00:00"/>
    <s v="Positive"/>
  </r>
  <r>
    <n v="1021"/>
    <s v="Mountain Bikes"/>
    <s v="Trail"/>
    <s v="Pathfinder 1000"/>
    <s v="Agile trail bike for all skill levels"/>
    <n v="1100"/>
    <n v="24"/>
    <s v="M"/>
    <s v="Europe"/>
    <s v="Blue"/>
    <n v="30"/>
    <n v="2021"/>
    <n v="3021"/>
    <s v="James Moore"/>
    <s v=" France"/>
    <d v="2024-03-21T00:00:00"/>
    <s v="Shipped"/>
    <n v="2"/>
    <n v="2200"/>
    <s v="Credit Card"/>
    <s v="Ground"/>
    <n v="4"/>
    <d v="2024-03-12T00:00:00"/>
    <s v="Neutral"/>
  </r>
  <r>
    <n v="1022"/>
    <s v="Mountain Bikes"/>
    <s v="Trail"/>
    <s v="Pathfinder 2000"/>
    <s v="High-performance trail bike"/>
    <n v="1400"/>
    <n v="21"/>
    <s v="L"/>
    <s v="Europe"/>
    <s v="Red"/>
    <n v="20"/>
    <n v="2022"/>
    <n v="3022"/>
    <s v="Lily Smith"/>
    <s v=" Germany"/>
    <d v="2024-03-22T00:00:00"/>
    <s v="Processing"/>
    <n v="1"/>
    <n v="1400"/>
    <s v="PayPal"/>
    <s v="Air"/>
    <n v="2"/>
    <d v="2024-03-14T00:00:00"/>
    <s v="Positive"/>
  </r>
  <r>
    <n v="1023"/>
    <s v="Road Bikes"/>
    <s v="Touring"/>
    <s v="Voyager 1000"/>
    <s v="Comfortable touring road bike"/>
    <n v="1700"/>
    <n v="20"/>
    <s v="M"/>
    <s v="Asia"/>
    <s v="Green"/>
    <n v="18"/>
    <n v="2024"/>
    <n v="3023"/>
    <s v="William Brown"/>
    <s v=" Japan"/>
    <d v="2024-03-23T00:00:00"/>
    <s v="Cancelled"/>
    <n v="3"/>
    <n v="5100"/>
    <s v="Credit Card"/>
    <s v="Ground"/>
    <n v="5"/>
    <d v="2024-03-18T00:00:00"/>
    <s v="Neutral"/>
  </r>
  <r>
    <n v="1024"/>
    <s v="Road Bikes"/>
    <s v="Touring"/>
    <s v="Voyager 2000"/>
    <s v="Advanced touring road bike"/>
    <n v="2000"/>
    <n v="18"/>
    <s v="L"/>
    <s v="North America"/>
    <s v="Black"/>
    <n v="22"/>
    <n v="2024"/>
    <n v="3024"/>
    <s v="Emma Jones"/>
    <s v=" USA"/>
    <d v="2024-03-24T00:00:00"/>
    <s v="Shipped"/>
    <n v="1"/>
    <n v="2000"/>
    <s v="Credit Card"/>
    <s v="Air"/>
    <n v="1"/>
    <d v="2024-03-15T00:00:00"/>
    <s v="Positive"/>
  </r>
  <r>
    <n v="1025"/>
    <s v="Touring Bikes"/>
    <s v="Touring"/>
    <s v="Adventurer 1000"/>
    <s v="Durable bike for long adventures"/>
    <n v="1500"/>
    <n v="28"/>
    <s v="M"/>
    <s v="Europe"/>
    <s v="Yellow"/>
    <n v="23"/>
    <n v="2025"/>
    <n v="3025"/>
    <s v="Jack Davis"/>
    <s v=" UK"/>
    <d v="2024-03-25T00:00:00"/>
    <s v="Processing"/>
    <n v="2"/>
    <n v="3000"/>
    <s v="PayPal"/>
    <s v="Ground"/>
    <n v="4"/>
    <d v="2024-03-19T00:00:00"/>
    <s v="Neutral"/>
  </r>
  <r>
    <n v="1026"/>
    <s v="Touring Bikes"/>
    <s v="Adventure"/>
    <s v="Adventurer 2000"/>
    <s v="Premium adventure touring bike"/>
    <n v="1800"/>
    <n v="26"/>
    <s v="L"/>
    <s v="Asia"/>
    <s v="White"/>
    <n v="20"/>
    <n v="2026"/>
    <n v="3026"/>
    <s v="Sophia Williams"/>
    <s v=" China"/>
    <d v="2024-03-26T00:00:00"/>
    <s v="Shipped"/>
    <n v="1"/>
    <n v="1800"/>
    <s v="Credit Card"/>
    <s v="Air"/>
    <n v="2"/>
    <d v="2024-03-18T00:00:00"/>
    <s v="Positive"/>
  </r>
  <r>
    <n v="1027"/>
    <s v="Mountain Bikes"/>
    <s v="Enduro"/>
    <s v="EnduroMaster 1000"/>
    <s v="Endurance-focused mountain bike"/>
    <n v="2300"/>
    <n v="30"/>
    <s v="M"/>
    <s v="North America"/>
    <s v="Blue"/>
    <n v="18"/>
    <n v="2027"/>
    <n v="3027"/>
    <s v="Michael Johnson"/>
    <s v=" USA"/>
    <d v="2024-03-27T00:00:00"/>
    <s v="Shipped"/>
    <n v="2"/>
    <n v="4600"/>
    <s v="PayPal"/>
    <s v="Ground"/>
    <n v="5"/>
    <d v="2024-03-22T00:00:00"/>
    <s v="Negative"/>
  </r>
  <r>
    <n v="1028"/>
    <s v="Mountain Bikes"/>
    <s v="Enduro"/>
    <s v="EnduroMaster 2000"/>
    <s v="High-performance enduro mountain bike"/>
    <n v="2600"/>
    <n v="28"/>
    <s v="L"/>
    <s v="Europe"/>
    <s v="Red"/>
    <n v="20"/>
    <n v="2028"/>
    <n v="3028"/>
    <s v="Olivia Wilson"/>
    <s v=" Italy"/>
    <d v="2024-03-28T00:00:00"/>
    <s v="Processing"/>
    <n v="1"/>
    <n v="2600"/>
    <s v="Credit Card"/>
    <s v="Air"/>
    <n v="1"/>
    <d v="2024-03-19T00:00:00"/>
    <s v="Positive"/>
  </r>
  <r>
    <n v="1041"/>
    <s v="Mountain Bikes"/>
    <s v="Fat Bikes"/>
    <s v="FatTrail 1000"/>
    <s v="All-terrain fat bike"/>
    <n v="1300"/>
    <n v="32"/>
    <s v="M"/>
    <s v="Asia"/>
    <s v="Black"/>
    <n v="20"/>
    <n v="2041"/>
    <n v="3041"/>
    <s v="Ethan Taylor"/>
    <s v=" South Korea"/>
    <d v="2024-03-11T00:00:00"/>
    <s v="Shipped"/>
    <n v="2"/>
    <n v="2600"/>
    <s v="Credit Card"/>
    <s v="Ground"/>
    <n v="4"/>
    <d v="2024-03-23T00:00:00"/>
    <s v="Neutral"/>
  </r>
  <r>
    <n v="1042"/>
    <s v="Mountain Bikes"/>
    <s v="Fat Bikes"/>
    <s v="FatTrail 2000"/>
    <s v="High-performance fat bike"/>
    <n v="1600"/>
    <n v="29"/>
    <s v="L"/>
    <s v="Europe"/>
    <s v="Green"/>
    <n v="20"/>
    <n v="2042"/>
    <n v="3042"/>
    <s v="Ava Thomas"/>
    <s v=" France"/>
    <d v="2024-03-12T00:00:00"/>
    <s v="Processing"/>
    <n v="1"/>
    <n v="1600"/>
    <s v="PayPal"/>
    <s v="Air"/>
    <n v="2"/>
    <d v="2024-03-22T00:00:00"/>
    <s v="Positive"/>
  </r>
  <r>
    <n v="1043"/>
    <s v="Road Bikes"/>
    <s v="Cyclocross"/>
    <s v="CrossRider 1000"/>
    <s v="Versatile cyclocross bike"/>
    <n v="1900"/>
    <n v="21"/>
    <s v="M"/>
    <s v="Asia"/>
    <s v="White"/>
    <n v="18"/>
    <n v="2043"/>
    <n v="3043"/>
    <s v="Isabella Jackson"/>
    <s v=" USA"/>
    <d v="2024-03-13T00:00:00"/>
    <s v="Cancelled"/>
    <n v="3"/>
    <n v="5700"/>
    <s v="Credit Card"/>
    <s v="Ground"/>
    <n v="5"/>
    <d v="2024-03-26T00:00:00"/>
    <s v="Neutral"/>
  </r>
  <r>
    <n v="1044"/>
    <s v="Road Bikes"/>
    <s v="Cyclocross"/>
    <s v="CrossRider 2000"/>
    <s v="Advanced cyclocross bike"/>
    <n v="2200"/>
    <n v="19"/>
    <s v="L"/>
    <s v="Europe"/>
    <s v="Red"/>
    <n v="20"/>
    <n v="2044"/>
    <n v="3044"/>
    <s v="Amelia Anderson"/>
    <s v=" Greece"/>
    <d v="2024-03-14T00:00:00"/>
    <s v="Shipped"/>
    <n v="1"/>
    <n v="2200"/>
    <s v="Credit Card"/>
    <s v="Air"/>
    <n v="2"/>
    <d v="2024-03-24T00:00:00"/>
    <s v="Positive"/>
  </r>
  <r>
    <n v="1045"/>
    <s v="Touring Bikes"/>
    <s v="Tandem"/>
    <s v="DuoExplorer 1000"/>
    <s v="Comfortable tandem touring bike"/>
    <n v="2000"/>
    <n v="36"/>
    <s v="M"/>
    <s v="Asia"/>
    <s v="Green"/>
    <n v="18"/>
    <n v="2045"/>
    <n v="3045"/>
    <s v="Liam Carter"/>
    <s v=" India"/>
    <d v="2024-03-15T00:00:00"/>
    <s v="Processing"/>
    <n v="2"/>
    <n v="4000"/>
    <s v="PayPal"/>
    <s v="Ground"/>
    <n v="5"/>
    <d v="2024-03-28T00:00:00"/>
    <s v="Neutral"/>
  </r>
  <r>
    <n v="1046"/>
    <s v="Touring Bikes"/>
    <s v="Tandem"/>
    <s v="DuoExplorer 2000"/>
    <s v="High-performance tandem touring bike"/>
    <n v="2300"/>
    <n v="34"/>
    <s v="L"/>
    <s v="North America"/>
    <s v="Black"/>
    <n v="22"/>
    <n v="2046"/>
    <n v="3046"/>
    <s v="Sophia Davis"/>
    <s v=" USA"/>
    <d v="2024-03-16T00:00:00"/>
    <s v="Shipped"/>
    <n v="1"/>
    <n v="2300"/>
    <s v="Credit Card"/>
    <s v="Air"/>
    <n v="1"/>
    <d v="2024-03-25T00:00:00"/>
    <s v="Positive"/>
  </r>
  <r>
    <n v="1047"/>
    <s v="Mountain Bikes"/>
    <s v="Electric"/>
    <s v="E-Mountain 1000"/>
    <s v="Electric mountain bike"/>
    <n v="3000"/>
    <n v="40"/>
    <s v="M"/>
    <s v="Europe"/>
    <s v="Yellow"/>
    <n v="23"/>
    <n v="2047"/>
    <n v="3047"/>
    <s v="Benjamin Williams"/>
    <s v=" Ireland"/>
    <d v="2024-03-17T00:00:00"/>
    <s v="Shipped"/>
    <n v="2"/>
    <n v="6000"/>
    <s v="PayPal"/>
    <s v="Ground"/>
    <n v="4"/>
    <d v="2024-03-29T00:00:00"/>
    <s v="Neutral"/>
  </r>
  <r>
    <n v="1048"/>
    <s v="Mountain Bikes"/>
    <s v="Electric"/>
    <s v="E-Mountain 2000"/>
    <s v="High-performance electric mountain bike"/>
    <n v="3500"/>
    <n v="38"/>
    <s v="L"/>
    <s v="Asia"/>
    <s v="White"/>
    <n v="20"/>
    <n v="2048"/>
    <n v="3048"/>
    <s v="Mia Wilson"/>
    <s v=" Taiwan"/>
    <d v="2024-03-18T00:00:00"/>
    <s v="Processing"/>
    <n v="1"/>
    <n v="3500"/>
    <s v="Credit Card"/>
    <s v="Air"/>
    <n v="2"/>
    <d v="2024-03-28T00:00:00"/>
    <s v="Positive"/>
  </r>
  <r>
    <n v="1061"/>
    <s v="E-Bikes"/>
    <s v="City"/>
    <s v="UrbanEco 1000"/>
    <s v="Eco-friendly electric city bike"/>
    <n v="2000"/>
    <n v="35"/>
    <s v="M"/>
    <s v="North America"/>
    <s v="Blue"/>
    <n v="18"/>
    <n v="2061"/>
    <n v="3061"/>
    <s v="Noah Johnson"/>
    <s v=" Canada"/>
    <d v="2024-03-01T00:00:00"/>
    <s v="Shipped"/>
    <n v="2"/>
    <n v="4000"/>
    <s v="Credit Card"/>
    <s v="Ground"/>
    <n v="5"/>
    <d v="2024-04-01T00:00:00"/>
    <s v="Negative"/>
  </r>
  <r>
    <n v="1062"/>
    <s v="E-Bikes"/>
    <s v="City"/>
    <s v="UrbanEco 2000"/>
    <s v="High-performance electric city bike"/>
    <n v="2500"/>
    <n v="33"/>
    <s v="L"/>
    <s v="Europe"/>
    <s v="Silver"/>
    <n v="20"/>
    <n v="2062"/>
    <n v="3062"/>
    <s v="Harper Thompson"/>
    <s v=" Germany"/>
    <d v="2024-03-02T00:00:00"/>
    <s v="Processing"/>
    <n v="1"/>
    <n v="2500"/>
    <s v="PayPal"/>
    <s v="Air"/>
    <n v="1"/>
    <d v="2024-03-29T00:00:00"/>
    <s v="Positive"/>
  </r>
  <r>
    <n v="1063"/>
    <s v="Road Bikes"/>
    <s v="Gravel"/>
    <s v="GravelMaster 1000"/>
    <s v="All-terrain gravel bike"/>
    <n v="1700"/>
    <n v="22"/>
    <s v="M"/>
    <s v="Europe"/>
    <s v="Orange"/>
    <n v="21"/>
    <n v="2063"/>
    <n v="3063"/>
    <s v="Ava Martinez"/>
    <s v=" Spain"/>
    <d v="2024-03-03T00:00:00"/>
    <s v="Cancelled"/>
    <n v="3"/>
    <n v="5100"/>
    <s v="Credit Card"/>
    <s v="Air"/>
    <n v="2"/>
    <d v="2024-03-31T00:00:00"/>
    <s v="Neutral"/>
  </r>
  <r>
    <n v="1064"/>
    <s v="Road Bikes"/>
    <s v="Gravel"/>
    <s v="GravelMaster 2000"/>
    <s v="High-performance gravel bike"/>
    <n v="2100"/>
    <n v="20"/>
    <s v="L"/>
    <s v="Asia"/>
    <s v="Red"/>
    <n v="19"/>
    <n v="2064"/>
    <n v="3064"/>
    <s v="Ethan Taylor"/>
    <s v=" China"/>
    <d v="2024-03-04T00:00:00"/>
    <s v="Shipped"/>
    <n v="1"/>
    <n v="2100"/>
    <s v="Credit Card"/>
    <s v="Ground"/>
    <n v="4"/>
    <d v="2024-04-03T00:00:00"/>
    <s v="Positive"/>
  </r>
  <r>
    <n v="1065"/>
    <s v="Touring Bikes"/>
    <s v="Folding"/>
    <s v="FoldAway 1000"/>
    <s v="Compact folding touring bike"/>
    <n v="1500"/>
    <n v="30"/>
    <s v="M"/>
    <s v="North America"/>
    <s v="Black"/>
    <n v="17"/>
    <n v="2065"/>
    <n v="3065"/>
    <s v="Isabella Smith"/>
    <s v=" USA"/>
    <d v="2024-03-05T00:00:00"/>
    <s v="Processing"/>
    <n v="2"/>
    <n v="3000"/>
    <s v="PayPal"/>
    <s v="Air"/>
    <n v="2"/>
    <d v="2024-04-02T00:00:00"/>
    <s v="Negative"/>
  </r>
  <r>
    <n v="1066"/>
    <s v="Touring Bikes"/>
    <s v="Folding"/>
    <s v="FoldAway 2000"/>
    <s v="Advanced folding touring bike"/>
    <n v="1800"/>
    <n v="28"/>
    <s v="L"/>
    <s v="Europe"/>
    <s v="White"/>
    <n v="20"/>
    <n v="2066"/>
    <n v="3066"/>
    <s v="Liam Davis"/>
    <s v=" Italy"/>
    <d v="2024-03-06T00:00:00"/>
    <s v="Shipped"/>
    <n v="1"/>
    <n v="1800"/>
    <s v="Credit Card"/>
    <s v="Ground"/>
    <n v="4"/>
    <d v="2024-04-05T00:00:00"/>
    <s v="Positive"/>
  </r>
  <r>
    <n v="1067"/>
    <s v="E-Bikes"/>
    <s v="Mountain"/>
    <s v="E-TrailBlazer 1000"/>
    <s v="Electric mountain bike"/>
    <n v="3200"/>
    <n v="42"/>
    <s v="M"/>
    <s v="Europe"/>
    <s v="Blue"/>
    <n v="18"/>
    <n v="2067"/>
    <n v="3067"/>
    <s v="Mia Jackson"/>
    <s v=" England"/>
    <d v="2024-03-07T00:00:00"/>
    <s v="Shipped"/>
    <n v="2"/>
    <n v="6400"/>
    <s v="PayPal"/>
    <s v="Air"/>
    <n v="2"/>
    <d v="2024-04-04T00:00:00"/>
    <s v="Neutral"/>
  </r>
  <r>
    <n v="1068"/>
    <s v="E-Bikes"/>
    <s v="Mountain"/>
    <s v="E-TrailBlazer 2000"/>
    <s v="High-performance electric mountain bike"/>
    <n v="3700"/>
    <n v="40"/>
    <s v="L"/>
    <s v="Asia"/>
    <s v="Yellow"/>
    <n v="20"/>
    <n v="2068"/>
    <n v="3068"/>
    <s v="Noah Johnson"/>
    <s v=" Japan"/>
    <d v="2024-03-08T00:00:00"/>
    <s v="Processing"/>
    <n v="1"/>
    <n v="3700"/>
    <s v="Credit Card"/>
    <s v="Air"/>
    <n v="1"/>
    <d v="2024-04-04T00:00:00"/>
    <s v="Positive"/>
  </r>
  <r>
    <n v="1081"/>
    <s v="Hybrid Bikes"/>
    <s v="Commuter"/>
    <s v="CommutePro 1000"/>
    <s v="Efficient commuter hybrid bike"/>
    <n v="1200"/>
    <n v="27"/>
    <s v="M"/>
    <s v="North America"/>
    <s v="Green"/>
    <n v="19"/>
    <n v="2081"/>
    <n v="3081"/>
    <s v="Ava Wilson"/>
    <s v=" USA"/>
    <d v="2024-02-19T00:00:00"/>
    <s v="Shipped"/>
    <n v="2"/>
    <n v="2400"/>
    <s v="Credit Card"/>
    <s v="Ground"/>
    <n v="5"/>
    <d v="2024-04-09T00:00:00"/>
    <s v="Neutral"/>
  </r>
  <r>
    <n v="1082"/>
    <s v="Hybrid Bikes"/>
    <s v="Commuter"/>
    <s v="CommutePro 2000"/>
    <s v="High-performance commuter hybrid bike"/>
    <n v="1500"/>
    <n v="25"/>
    <s v="L"/>
    <s v="Europe"/>
    <s v="Silver"/>
    <n v="19"/>
    <n v="2082"/>
    <n v="3082"/>
    <s v="Sophia Taylor"/>
    <s v=" France"/>
    <d v="2024-02-20T00:00:00"/>
    <s v="Processing"/>
    <n v="1"/>
    <n v="1500"/>
    <s v="PayPal"/>
    <s v="Air"/>
    <n v="1"/>
    <d v="2024-04-06T00:00:00"/>
    <s v="Positive"/>
  </r>
  <r>
    <n v="1083"/>
    <s v="Road Bikes"/>
    <s v="Aero"/>
    <s v="AeroSpeed 1000"/>
    <s v="Aerodynamic road bike"/>
    <n v="2800"/>
    <n v="18"/>
    <s v="M"/>
    <s v="Europe"/>
    <s v="Orange"/>
    <n v="18"/>
    <n v="2083"/>
    <n v="3083"/>
    <s v="Benjamin Thompson"/>
    <s v=" Poland"/>
    <d v="2024-02-21T00:00:00"/>
    <s v="Cancelled"/>
    <n v="3"/>
    <n v="8400"/>
    <s v="Credit Card"/>
    <s v="Air"/>
    <n v="2"/>
    <d v="2024-04-08T00:00:00"/>
    <s v="Neutral"/>
  </r>
  <r>
    <n v="1084"/>
    <s v="Road Bikes"/>
    <s v="Aero"/>
    <s v="AeroSpeed 2000"/>
    <s v="Advanced aerodynamic road bike"/>
    <n v="3200"/>
    <n v="16"/>
    <s v="L"/>
    <s v="Asia"/>
    <s v="Red"/>
    <n v="21"/>
    <n v="2084"/>
    <n v="3084"/>
    <s v="Harper Martinez"/>
    <s v=" South Korea"/>
    <d v="2024-02-22T00:00:00"/>
    <s v="Shipped"/>
    <n v="1"/>
    <n v="3200"/>
    <s v="Credit Card"/>
    <s v="Ground"/>
    <n v="4"/>
    <d v="2024-04-11T00:00:00"/>
    <s v="Positive"/>
  </r>
  <r>
    <n v="1085"/>
    <s v="Touring Bikes"/>
    <s v="Recumbent"/>
    <s v="ReclineRider 1000"/>
    <s v="Comfortable recumbent touring bike"/>
    <n v="2000"/>
    <n v="33"/>
    <s v="M"/>
    <s v="North America"/>
    <s v="Black"/>
    <n v="20"/>
    <n v="2085"/>
    <n v="3085"/>
    <s v="Ethan Smith"/>
    <s v=" USA"/>
    <d v="2024-02-23T00:00:00"/>
    <s v="Processing"/>
    <n v="2"/>
    <n v="4000"/>
    <s v="PayPal"/>
    <s v="Air"/>
    <n v="2"/>
    <d v="2024-04-10T00:00:00"/>
    <s v="Negative"/>
  </r>
  <r>
    <n v="1086"/>
    <s v="Touring Bikes"/>
    <s v="Recumbent"/>
    <s v="ReclineRider 2000"/>
    <s v="High-performance recumbent touring bike"/>
    <n v="2400"/>
    <n v="30"/>
    <s v="L"/>
    <s v="Europe"/>
    <s v="White"/>
    <n v="18"/>
    <n v="2086"/>
    <n v="3086"/>
    <s v="Isabella Davis"/>
    <s v=" Portugal"/>
    <d v="2024-02-24T00:00:00"/>
    <s v="Shipped"/>
    <n v="1"/>
    <n v="2400"/>
    <s v="Credit Card"/>
    <s v="Ground"/>
    <n v="4"/>
    <d v="2024-04-13T00:00:00"/>
    <s v="Positive"/>
  </r>
  <r>
    <n v="1087"/>
    <s v="Mountain Bikes"/>
    <s v="Downhill"/>
    <s v="DownhillDominator 1000"/>
    <s v="Downhill mountain bike"/>
    <n v="2900"/>
    <n v="34"/>
    <s v="M"/>
    <s v="Europe"/>
    <s v="Blue"/>
    <n v="20"/>
    <n v="2087"/>
    <n v="3087"/>
    <s v="Liam Johnson"/>
    <s v=" Netherlands"/>
    <d v="2024-02-25T00:00:00"/>
    <s v="Shipped"/>
    <n v="2"/>
    <n v="5800"/>
    <s v="PayPal"/>
    <s v="Air"/>
    <n v="2"/>
    <d v="2024-04-12T00:00:00"/>
    <s v="Neutral"/>
  </r>
  <r>
    <n v="1088"/>
    <s v="Mountain Bikes"/>
    <s v="Downhill"/>
    <s v="DownhillDominator 2000"/>
    <s v="High-performance downhill mountain bike"/>
    <n v="3300"/>
    <n v="32"/>
    <s v="L"/>
    <s v="Asia"/>
    <s v="Yellow"/>
    <n v="22"/>
    <n v="2088"/>
    <n v="3088"/>
    <s v="Mia Wilson"/>
    <s v=" China"/>
    <d v="2024-02-26T00:00:00"/>
    <s v="Processing"/>
    <n v="1"/>
    <n v="3300"/>
    <s v="PayPal"/>
    <s v="Air"/>
    <n v="1"/>
    <d v="2024-04-12T00:00:00"/>
    <s v="Positive"/>
  </r>
  <r>
    <n v="1101"/>
    <s v="Kids Bikes"/>
    <s v="Balance"/>
    <s v="LittleBalancer 1000"/>
    <s v="Starter balance bike for kids"/>
    <n v="150"/>
    <n v="10"/>
    <s v="M"/>
    <s v="North America"/>
    <s v="Green"/>
    <n v="20"/>
    <n v="2101"/>
    <n v="3101"/>
    <s v="Noah Taylor"/>
    <s v=" Canada"/>
    <d v="2024-02-01T00:00:00"/>
    <s v="Shipped"/>
    <n v="2"/>
    <n v="300"/>
    <s v="Credit Card"/>
    <s v="Ground"/>
    <n v="5"/>
    <d v="2024-04-17T00:00:00"/>
    <s v="Neutral"/>
  </r>
  <r>
    <n v="1102"/>
    <s v="Kids Bikes"/>
    <s v="Balance"/>
    <s v="LittleBalancer 2000"/>
    <s v="Upgraded balance bike for kids"/>
    <n v="200"/>
    <n v="9"/>
    <s v="L"/>
    <s v="Europe"/>
    <s v="Silver"/>
    <n v="18"/>
    <n v="2102"/>
    <n v="3102"/>
    <s v="Sophia Thompson"/>
    <s v=" Spain"/>
    <d v="2024-02-02T00:00:00"/>
    <s v="Processing"/>
    <n v="1"/>
    <n v="200"/>
    <s v="PayPal"/>
    <s v="Air"/>
    <n v="1"/>
    <d v="2024-04-14T00:00:00"/>
    <s v="Positive"/>
  </r>
  <r>
    <n v="1103"/>
    <s v="BMX Bikes"/>
    <s v="Freestyle"/>
    <s v="FreestyleMaster 1000"/>
    <s v="Beginner freestyle BMX bike"/>
    <n v="400"/>
    <n v="25"/>
    <s v="M"/>
    <s v="Europe"/>
    <s v="Orange"/>
    <n v="20"/>
    <n v="2103"/>
    <n v="3103"/>
    <s v="Benjamin Martinez"/>
    <s v=" Germany"/>
    <d v="2024-02-03T00:00:00"/>
    <s v="Cancelled"/>
    <n v="3"/>
    <n v="1200"/>
    <s v="Credit Card"/>
    <s v="Air"/>
    <n v="2"/>
    <d v="2024-04-16T00:00:00"/>
    <s v="Neutral"/>
  </r>
  <r>
    <n v="1104"/>
    <s v="BMX Bikes"/>
    <s v="Freestyle"/>
    <s v="FreestyleMaster 2000"/>
    <s v="Advanced freestyle BMX bike"/>
    <n v="600"/>
    <n v="23"/>
    <s v="L"/>
    <s v="Asia"/>
    <s v="Red"/>
    <n v="23"/>
    <n v="2104"/>
    <n v="3104"/>
    <s v="Harper Smith"/>
    <s v=" Australia"/>
    <d v="2024-02-04T00:00:00"/>
    <s v="Shipped"/>
    <n v="1"/>
    <n v="600"/>
    <s v="Credit Card"/>
    <s v="Ground"/>
    <n v="4"/>
    <d v="2024-04-19T00:00:00"/>
    <s v="Positive"/>
  </r>
  <r>
    <n v="1105"/>
    <s v="Mountain Bikes"/>
    <s v="Cross Country"/>
    <s v="XC-Rider 1000"/>
    <s v="Cross country mountain bike"/>
    <n v="1800"/>
    <n v="29"/>
    <s v="M"/>
    <s v="North America"/>
    <s v="Black"/>
    <n v="21"/>
    <n v="2105"/>
    <n v="3105"/>
    <s v="Ethan Davis"/>
    <s v=" Canada"/>
    <d v="2024-02-05T00:00:00"/>
    <s v="Processing"/>
    <n v="2"/>
    <n v="3600"/>
    <s v="PayPal"/>
    <s v="Air"/>
    <n v="2"/>
    <d v="2024-04-18T00:00:00"/>
    <s v="Negative"/>
  </r>
  <r>
    <n v="1106"/>
    <s v="Mountain Bikes"/>
    <s v="Cross Country"/>
    <s v="XC-Rider 2000"/>
    <s v="High-performance cross country bike"/>
    <n v="2400"/>
    <n v="27"/>
    <s v="L"/>
    <s v="Asia"/>
    <s v="Blue"/>
    <n v="26"/>
    <n v="2106"/>
    <n v="3106"/>
    <s v="Noah Johnson"/>
    <s v=" Japan"/>
    <d v="2024-02-06T00:00:00"/>
    <s v="Shipped"/>
    <n v="1"/>
    <n v="2400"/>
    <s v="Credit Card"/>
    <s v="Air"/>
    <n v="3"/>
    <d v="2024-02-09T00:00:00"/>
    <s v="Positive"/>
  </r>
  <r>
    <n v="1107"/>
    <s v="Road Bikes"/>
    <s v="Endurance"/>
    <s v="EnduranceElite 1000"/>
    <s v="Endurance road bike"/>
    <n v="2100"/>
    <n v="20"/>
    <s v="M"/>
    <s v="North America"/>
    <s v="Orange"/>
    <n v="30"/>
    <n v="2107"/>
    <n v="3107"/>
    <s v="James Moore"/>
    <s v=" France"/>
    <d v="2024-02-07T00:00:00"/>
    <s v="Shipped"/>
    <n v="2"/>
    <n v="4200"/>
    <s v="PayPal"/>
    <s v="Ground"/>
    <n v="2"/>
    <d v="2024-02-09T00:00:00"/>
    <s v="Negative"/>
  </r>
  <r>
    <n v="1108"/>
    <s v="Road Bikes"/>
    <s v="Endurance"/>
    <s v="EnduranceElite 2000"/>
    <s v="High-performance endurance road bike"/>
    <n v="2600"/>
    <n v="18"/>
    <s v="L"/>
    <s v="Europe"/>
    <s v="Blue"/>
    <n v="26"/>
    <n v="2108"/>
    <n v="3108"/>
    <s v="Noah Johnson"/>
    <s v=" Japan"/>
    <d v="2024-02-08T00:00:00"/>
    <s v="Processing"/>
    <n v="1"/>
    <n v="2600"/>
    <s v="Credit Card"/>
    <s v="Air"/>
    <n v="1"/>
    <d v="2024-02-09T00:00:00"/>
    <s v="Positive"/>
  </r>
  <r>
    <m/>
    <m/>
    <m/>
    <m/>
    <m/>
    <n v="94450"/>
    <m/>
    <m/>
    <m/>
    <m/>
    <m/>
    <m/>
    <m/>
    <m/>
    <m/>
    <m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n v="1001"/>
    <x v="0"/>
    <s v="Cross Country"/>
    <x v="0"/>
    <s v="Lightweight and versatile"/>
    <n v="1200"/>
    <n v="25"/>
    <s v="M"/>
    <x v="0"/>
    <x v="0"/>
    <n v="50"/>
    <x v="0"/>
    <x v="0"/>
    <s v="John Doe"/>
    <x v="0"/>
    <d v="2024-03-01T00:00:00"/>
    <x v="0"/>
    <x v="0"/>
    <x v="0"/>
    <s v="Credit Card"/>
    <x v="0"/>
    <n v="3"/>
    <d v="2024-03-04T00:00:00"/>
    <x v="0"/>
  </r>
  <r>
    <n v="1002"/>
    <x v="0"/>
    <s v="Cross Country"/>
    <x v="1"/>
    <s v="High-performance mountain bike"/>
    <n v="1500"/>
    <n v="22"/>
    <s v="L"/>
    <x v="1"/>
    <x v="1"/>
    <n v="20"/>
    <x v="1"/>
    <x v="1"/>
    <s v="Jane Smith"/>
    <x v="1"/>
    <d v="2024-03-02T00:00:00"/>
    <x v="1"/>
    <x v="1"/>
    <x v="1"/>
    <s v="PayPal"/>
    <x v="1"/>
    <n v="2"/>
    <d v="2024-03-03T00:00:00"/>
    <x v="1"/>
  </r>
  <r>
    <n v="1003"/>
    <x v="1"/>
    <s v="Racing"/>
    <x v="2"/>
    <s v="Agile and aerodynamic road bike"/>
    <n v="1800"/>
    <n v="18"/>
    <s v="M"/>
    <x v="2"/>
    <x v="2"/>
    <n v="30"/>
    <x v="2"/>
    <x v="2"/>
    <s v="Jack Williams"/>
    <x v="2"/>
    <d v="2024-03-03T00:00:00"/>
    <x v="2"/>
    <x v="2"/>
    <x v="2"/>
    <s v="Credit Card"/>
    <x v="0"/>
    <n v="5"/>
    <d v="2024-03-07T00:00:00"/>
    <x v="0"/>
  </r>
  <r>
    <n v="1004"/>
    <x v="1"/>
    <s v="Racing"/>
    <x v="3"/>
    <s v="Premium racing road bike"/>
    <n v="2100"/>
    <n v="16"/>
    <s v="L"/>
    <x v="0"/>
    <x v="3"/>
    <n v="40"/>
    <x v="3"/>
    <x v="3"/>
    <s v="Mary Johnson"/>
    <x v="0"/>
    <d v="2024-03-04T00:00:00"/>
    <x v="0"/>
    <x v="1"/>
    <x v="3"/>
    <s v="Credit Card"/>
    <x v="1"/>
    <n v="1"/>
    <d v="2024-03-04T00:00:00"/>
    <x v="2"/>
  </r>
  <r>
    <n v="1005"/>
    <x v="2"/>
    <s v="Long Distance"/>
    <x v="4"/>
    <s v="Comfortable and durable touring bike"/>
    <n v="1300"/>
    <n v="27"/>
    <s v="M"/>
    <x v="1"/>
    <x v="4"/>
    <n v="25"/>
    <x v="4"/>
    <x v="4"/>
    <s v="Robert Brown"/>
    <x v="3"/>
    <d v="2024-03-05T00:00:00"/>
    <x v="1"/>
    <x v="0"/>
    <x v="4"/>
    <s v="PayPal"/>
    <x v="0"/>
    <n v="4"/>
    <d v="2024-03-08T00:00:00"/>
    <x v="0"/>
  </r>
  <r>
    <n v="1006"/>
    <x v="2"/>
    <s v="Long Distance"/>
    <x v="5"/>
    <s v="Advanced touring bike"/>
    <n v="1600"/>
    <n v="24"/>
    <s v="L"/>
    <x v="1"/>
    <x v="0"/>
    <n v="15"/>
    <x v="5"/>
    <x v="5"/>
    <s v="Emily Taylor"/>
    <x v="4"/>
    <d v="2024-03-06T00:00:00"/>
    <x v="0"/>
    <x v="1"/>
    <x v="5"/>
    <s v="Credit Card"/>
    <x v="1"/>
    <n v="2"/>
    <d v="2024-03-07T00:00:00"/>
    <x v="0"/>
  </r>
  <r>
    <n v="1007"/>
    <x v="0"/>
    <s v="Downhill"/>
    <x v="6"/>
    <s v="Rugged and durable downhill bike"/>
    <n v="2200"/>
    <n v="29"/>
    <s v="M"/>
    <x v="2"/>
    <x v="5"/>
    <n v="25"/>
    <x v="6"/>
    <x v="6"/>
    <s v="David Miller"/>
    <x v="5"/>
    <d v="2024-03-07T00:00:00"/>
    <x v="0"/>
    <x v="0"/>
    <x v="6"/>
    <s v="PayPal"/>
    <x v="0"/>
    <n v="5"/>
    <d v="2024-03-11T00:00:00"/>
    <x v="2"/>
  </r>
  <r>
    <n v="1008"/>
    <x v="0"/>
    <s v="Downhill"/>
    <x v="7"/>
    <s v="Rugged and durable downhill bike"/>
    <n v="2500"/>
    <n v="27"/>
    <s v="L"/>
    <x v="0"/>
    <x v="6"/>
    <n v="35"/>
    <x v="7"/>
    <x v="7"/>
    <s v="Sarah Wilson"/>
    <x v="0"/>
    <d v="2024-03-08T00:00:00"/>
    <x v="1"/>
    <x v="1"/>
    <x v="7"/>
    <s v="Credit Card"/>
    <x v="1"/>
    <n v="1"/>
    <d v="2024-03-08T00:00:00"/>
    <x v="0"/>
  </r>
  <r>
    <n v="1021"/>
    <x v="0"/>
    <s v="Trail"/>
    <x v="8"/>
    <s v="Agile trail bike for all skill levels"/>
    <n v="1100"/>
    <n v="24"/>
    <s v="M"/>
    <x v="1"/>
    <x v="1"/>
    <n v="30"/>
    <x v="8"/>
    <x v="8"/>
    <s v="James Moore"/>
    <x v="6"/>
    <d v="2024-03-21T00:00:00"/>
    <x v="0"/>
    <x v="0"/>
    <x v="8"/>
    <s v="Credit Card"/>
    <x v="0"/>
    <n v="4"/>
    <d v="2024-03-12T00:00:00"/>
    <x v="1"/>
  </r>
  <r>
    <n v="1022"/>
    <x v="0"/>
    <s v="Trail"/>
    <x v="9"/>
    <s v="High-performance trail bike"/>
    <n v="1400"/>
    <n v="21"/>
    <s v="L"/>
    <x v="1"/>
    <x v="0"/>
    <n v="20"/>
    <x v="9"/>
    <x v="9"/>
    <s v="Lily Smith"/>
    <x v="3"/>
    <d v="2024-03-22T00:00:00"/>
    <x v="1"/>
    <x v="1"/>
    <x v="9"/>
    <s v="PayPal"/>
    <x v="1"/>
    <n v="2"/>
    <d v="2024-03-14T00:00:00"/>
    <x v="0"/>
  </r>
  <r>
    <n v="1023"/>
    <x v="1"/>
    <s v="Touring"/>
    <x v="10"/>
    <s v="Comfortable touring road bike"/>
    <n v="1700"/>
    <n v="20"/>
    <s v="M"/>
    <x v="2"/>
    <x v="4"/>
    <n v="18"/>
    <x v="10"/>
    <x v="10"/>
    <s v="William Brown"/>
    <x v="2"/>
    <d v="2024-03-23T00:00:00"/>
    <x v="2"/>
    <x v="2"/>
    <x v="10"/>
    <s v="Credit Card"/>
    <x v="0"/>
    <n v="5"/>
    <d v="2024-03-18T00:00:00"/>
    <x v="1"/>
  </r>
  <r>
    <n v="1024"/>
    <x v="1"/>
    <s v="Touring"/>
    <x v="11"/>
    <s v="Advanced touring road bike"/>
    <n v="2000"/>
    <n v="18"/>
    <s v="L"/>
    <x v="0"/>
    <x v="3"/>
    <n v="22"/>
    <x v="10"/>
    <x v="11"/>
    <s v="Emma Jones"/>
    <x v="0"/>
    <d v="2024-03-24T00:00:00"/>
    <x v="0"/>
    <x v="1"/>
    <x v="11"/>
    <s v="Credit Card"/>
    <x v="1"/>
    <n v="1"/>
    <d v="2024-03-15T00:00:00"/>
    <x v="0"/>
  </r>
  <r>
    <n v="1025"/>
    <x v="2"/>
    <s v="Touring"/>
    <x v="12"/>
    <s v="Durable bike for long adventures"/>
    <n v="1500"/>
    <n v="28"/>
    <s v="M"/>
    <x v="1"/>
    <x v="2"/>
    <n v="23"/>
    <x v="11"/>
    <x v="12"/>
    <s v="Jack Davis"/>
    <x v="1"/>
    <d v="2024-03-25T00:00:00"/>
    <x v="1"/>
    <x v="0"/>
    <x v="12"/>
    <s v="PayPal"/>
    <x v="0"/>
    <n v="4"/>
    <d v="2024-03-19T00:00:00"/>
    <x v="1"/>
  </r>
  <r>
    <n v="1026"/>
    <x v="2"/>
    <s v="Adventure"/>
    <x v="13"/>
    <s v="Premium adventure touring bike"/>
    <n v="1800"/>
    <n v="26"/>
    <s v="L"/>
    <x v="2"/>
    <x v="6"/>
    <n v="20"/>
    <x v="12"/>
    <x v="13"/>
    <s v="Sophia Williams"/>
    <x v="5"/>
    <d v="2024-03-26T00:00:00"/>
    <x v="0"/>
    <x v="1"/>
    <x v="13"/>
    <s v="Credit Card"/>
    <x v="1"/>
    <n v="2"/>
    <d v="2024-03-18T00:00:00"/>
    <x v="0"/>
  </r>
  <r>
    <n v="1027"/>
    <x v="0"/>
    <s v="Enduro"/>
    <x v="14"/>
    <s v="Endurance-focused mountain bike"/>
    <n v="2300"/>
    <n v="30"/>
    <s v="M"/>
    <x v="0"/>
    <x v="1"/>
    <n v="18"/>
    <x v="13"/>
    <x v="14"/>
    <s v="Michael Johnson"/>
    <x v="0"/>
    <d v="2024-03-27T00:00:00"/>
    <x v="0"/>
    <x v="0"/>
    <x v="14"/>
    <s v="PayPal"/>
    <x v="0"/>
    <n v="5"/>
    <d v="2024-03-22T00:00:00"/>
    <x v="2"/>
  </r>
  <r>
    <n v="1028"/>
    <x v="0"/>
    <s v="Enduro"/>
    <x v="15"/>
    <s v="High-performance enduro mountain bike"/>
    <n v="2600"/>
    <n v="28"/>
    <s v="L"/>
    <x v="1"/>
    <x v="0"/>
    <n v="20"/>
    <x v="14"/>
    <x v="15"/>
    <s v="Olivia Wilson"/>
    <x v="7"/>
    <d v="2024-03-28T00:00:00"/>
    <x v="1"/>
    <x v="1"/>
    <x v="4"/>
    <s v="Credit Card"/>
    <x v="1"/>
    <n v="1"/>
    <d v="2024-03-19T00:00:00"/>
    <x v="0"/>
  </r>
  <r>
    <n v="1041"/>
    <x v="0"/>
    <s v="Fat Bikes"/>
    <x v="16"/>
    <s v="All-terrain fat bike"/>
    <n v="1300"/>
    <n v="32"/>
    <s v="M"/>
    <x v="2"/>
    <x v="3"/>
    <n v="20"/>
    <x v="15"/>
    <x v="16"/>
    <s v="Ethan Taylor"/>
    <x v="8"/>
    <d v="2024-03-11T00:00:00"/>
    <x v="0"/>
    <x v="0"/>
    <x v="4"/>
    <s v="Credit Card"/>
    <x v="0"/>
    <n v="4"/>
    <d v="2024-03-23T00:00:00"/>
    <x v="1"/>
  </r>
  <r>
    <n v="1042"/>
    <x v="0"/>
    <s v="Fat Bikes"/>
    <x v="17"/>
    <s v="High-performance fat bike"/>
    <n v="1600"/>
    <n v="29"/>
    <s v="L"/>
    <x v="1"/>
    <x v="4"/>
    <n v="20"/>
    <x v="16"/>
    <x v="17"/>
    <s v="Ava Thomas"/>
    <x v="6"/>
    <d v="2024-03-12T00:00:00"/>
    <x v="1"/>
    <x v="1"/>
    <x v="5"/>
    <s v="PayPal"/>
    <x v="1"/>
    <n v="2"/>
    <d v="2024-03-22T00:00:00"/>
    <x v="0"/>
  </r>
  <r>
    <n v="1043"/>
    <x v="1"/>
    <s v="Cyclocross"/>
    <x v="18"/>
    <s v="Versatile cyclocross bike"/>
    <n v="1900"/>
    <n v="21"/>
    <s v="M"/>
    <x v="2"/>
    <x v="6"/>
    <n v="18"/>
    <x v="17"/>
    <x v="18"/>
    <s v="Isabella Jackson"/>
    <x v="0"/>
    <d v="2024-03-13T00:00:00"/>
    <x v="2"/>
    <x v="2"/>
    <x v="15"/>
    <s v="Credit Card"/>
    <x v="0"/>
    <n v="5"/>
    <d v="2024-03-26T00:00:00"/>
    <x v="1"/>
  </r>
  <r>
    <n v="1044"/>
    <x v="1"/>
    <s v="Cyclocross"/>
    <x v="19"/>
    <s v="Advanced cyclocross bike"/>
    <n v="2200"/>
    <n v="19"/>
    <s v="L"/>
    <x v="1"/>
    <x v="0"/>
    <n v="20"/>
    <x v="18"/>
    <x v="19"/>
    <s v="Amelia Anderson"/>
    <x v="9"/>
    <d v="2024-03-14T00:00:00"/>
    <x v="0"/>
    <x v="1"/>
    <x v="8"/>
    <s v="Credit Card"/>
    <x v="1"/>
    <n v="2"/>
    <d v="2024-03-24T00:00:00"/>
    <x v="0"/>
  </r>
  <r>
    <n v="1045"/>
    <x v="2"/>
    <s v="Tandem"/>
    <x v="20"/>
    <s v="Comfortable tandem touring bike"/>
    <n v="2000"/>
    <n v="36"/>
    <s v="M"/>
    <x v="2"/>
    <x v="4"/>
    <n v="18"/>
    <x v="19"/>
    <x v="20"/>
    <s v="Liam Carter"/>
    <x v="10"/>
    <d v="2024-03-15T00:00:00"/>
    <x v="1"/>
    <x v="0"/>
    <x v="16"/>
    <s v="PayPal"/>
    <x v="0"/>
    <n v="5"/>
    <d v="2024-03-28T00:00:00"/>
    <x v="1"/>
  </r>
  <r>
    <n v="1046"/>
    <x v="2"/>
    <s v="Tandem"/>
    <x v="21"/>
    <s v="High-performance tandem touring bike"/>
    <n v="2300"/>
    <n v="34"/>
    <s v="L"/>
    <x v="0"/>
    <x v="3"/>
    <n v="22"/>
    <x v="20"/>
    <x v="21"/>
    <s v="Sophia Davis"/>
    <x v="0"/>
    <d v="2024-03-16T00:00:00"/>
    <x v="0"/>
    <x v="1"/>
    <x v="17"/>
    <s v="Credit Card"/>
    <x v="1"/>
    <n v="1"/>
    <d v="2024-03-25T00:00:00"/>
    <x v="0"/>
  </r>
  <r>
    <n v="1047"/>
    <x v="0"/>
    <s v="Electric"/>
    <x v="22"/>
    <s v="Electric mountain bike"/>
    <n v="3000"/>
    <n v="40"/>
    <s v="M"/>
    <x v="1"/>
    <x v="2"/>
    <n v="23"/>
    <x v="21"/>
    <x v="22"/>
    <s v="Benjamin Williams"/>
    <x v="11"/>
    <d v="2024-03-17T00:00:00"/>
    <x v="0"/>
    <x v="0"/>
    <x v="18"/>
    <s v="PayPal"/>
    <x v="0"/>
    <n v="4"/>
    <d v="2024-03-29T00:00:00"/>
    <x v="1"/>
  </r>
  <r>
    <n v="1048"/>
    <x v="0"/>
    <s v="Electric"/>
    <x v="23"/>
    <s v="High-performance electric mountain bike"/>
    <n v="3500"/>
    <n v="38"/>
    <s v="L"/>
    <x v="2"/>
    <x v="6"/>
    <n v="20"/>
    <x v="22"/>
    <x v="23"/>
    <s v="Mia Wilson"/>
    <x v="12"/>
    <d v="2024-03-18T00:00:00"/>
    <x v="1"/>
    <x v="1"/>
    <x v="19"/>
    <s v="Credit Card"/>
    <x v="1"/>
    <n v="2"/>
    <d v="2024-03-28T00:00:00"/>
    <x v="0"/>
  </r>
  <r>
    <n v="1061"/>
    <x v="3"/>
    <s v="City"/>
    <x v="24"/>
    <s v="Eco-friendly electric city bike"/>
    <n v="2000"/>
    <n v="35"/>
    <s v="M"/>
    <x v="0"/>
    <x v="1"/>
    <n v="18"/>
    <x v="23"/>
    <x v="24"/>
    <s v="Noah Johnson"/>
    <x v="13"/>
    <d v="2024-03-01T00:00:00"/>
    <x v="0"/>
    <x v="0"/>
    <x v="16"/>
    <s v="Credit Card"/>
    <x v="0"/>
    <n v="5"/>
    <d v="2024-04-01T00:00:00"/>
    <x v="2"/>
  </r>
  <r>
    <n v="1062"/>
    <x v="3"/>
    <s v="City"/>
    <x v="25"/>
    <s v="High-performance electric city bike"/>
    <n v="2500"/>
    <n v="33"/>
    <s v="L"/>
    <x v="1"/>
    <x v="7"/>
    <n v="20"/>
    <x v="24"/>
    <x v="25"/>
    <s v="Harper Thompson"/>
    <x v="3"/>
    <d v="2024-03-02T00:00:00"/>
    <x v="1"/>
    <x v="1"/>
    <x v="7"/>
    <s v="PayPal"/>
    <x v="1"/>
    <n v="1"/>
    <d v="2024-03-29T00:00:00"/>
    <x v="0"/>
  </r>
  <r>
    <n v="1063"/>
    <x v="1"/>
    <s v="Gravel"/>
    <x v="26"/>
    <s v="All-terrain gravel bike"/>
    <n v="1700"/>
    <n v="22"/>
    <s v="M"/>
    <x v="1"/>
    <x v="5"/>
    <n v="21"/>
    <x v="25"/>
    <x v="26"/>
    <s v="Ava Martinez"/>
    <x v="4"/>
    <d v="2024-03-03T00:00:00"/>
    <x v="2"/>
    <x v="2"/>
    <x v="10"/>
    <s v="Credit Card"/>
    <x v="1"/>
    <n v="2"/>
    <d v="2024-03-31T00:00:00"/>
    <x v="1"/>
  </r>
  <r>
    <n v="1064"/>
    <x v="1"/>
    <s v="Gravel"/>
    <x v="27"/>
    <s v="High-performance gravel bike"/>
    <n v="2100"/>
    <n v="20"/>
    <s v="L"/>
    <x v="2"/>
    <x v="0"/>
    <n v="19"/>
    <x v="26"/>
    <x v="27"/>
    <s v="Ethan Taylor"/>
    <x v="5"/>
    <d v="2024-03-04T00:00:00"/>
    <x v="0"/>
    <x v="1"/>
    <x v="3"/>
    <s v="Credit Card"/>
    <x v="0"/>
    <n v="4"/>
    <d v="2024-04-03T00:00:00"/>
    <x v="0"/>
  </r>
  <r>
    <n v="1065"/>
    <x v="2"/>
    <s v="Folding"/>
    <x v="28"/>
    <s v="Compact folding touring bike"/>
    <n v="1500"/>
    <n v="30"/>
    <s v="M"/>
    <x v="0"/>
    <x v="3"/>
    <n v="17"/>
    <x v="27"/>
    <x v="28"/>
    <s v="Isabella Smith"/>
    <x v="0"/>
    <d v="2024-03-05T00:00:00"/>
    <x v="1"/>
    <x v="0"/>
    <x v="12"/>
    <s v="PayPal"/>
    <x v="1"/>
    <n v="2"/>
    <d v="2024-04-02T00:00:00"/>
    <x v="2"/>
  </r>
  <r>
    <n v="1066"/>
    <x v="2"/>
    <s v="Folding"/>
    <x v="29"/>
    <s v="Advanced folding touring bike"/>
    <n v="1800"/>
    <n v="28"/>
    <s v="L"/>
    <x v="1"/>
    <x v="6"/>
    <n v="20"/>
    <x v="28"/>
    <x v="29"/>
    <s v="Liam Davis"/>
    <x v="7"/>
    <d v="2024-03-06T00:00:00"/>
    <x v="0"/>
    <x v="1"/>
    <x v="13"/>
    <s v="Credit Card"/>
    <x v="0"/>
    <n v="4"/>
    <d v="2024-04-05T00:00:00"/>
    <x v="0"/>
  </r>
  <r>
    <n v="1067"/>
    <x v="3"/>
    <s v="Mountain"/>
    <x v="30"/>
    <s v="Electric mountain bike"/>
    <n v="3200"/>
    <n v="42"/>
    <s v="M"/>
    <x v="1"/>
    <x v="1"/>
    <n v="18"/>
    <x v="29"/>
    <x v="30"/>
    <s v="Mia Jackson"/>
    <x v="14"/>
    <d v="2024-03-07T00:00:00"/>
    <x v="0"/>
    <x v="0"/>
    <x v="20"/>
    <s v="PayPal"/>
    <x v="1"/>
    <n v="2"/>
    <d v="2024-04-04T00:00:00"/>
    <x v="1"/>
  </r>
  <r>
    <n v="1068"/>
    <x v="3"/>
    <s v="Mountain"/>
    <x v="31"/>
    <s v="High-performance electric mountain bike"/>
    <n v="3700"/>
    <n v="40"/>
    <s v="L"/>
    <x v="2"/>
    <x v="2"/>
    <n v="20"/>
    <x v="30"/>
    <x v="31"/>
    <s v="Noah Johnson"/>
    <x v="2"/>
    <d v="2024-03-08T00:00:00"/>
    <x v="1"/>
    <x v="1"/>
    <x v="21"/>
    <s v="Credit Card"/>
    <x v="1"/>
    <n v="1"/>
    <d v="2024-04-04T00:00:00"/>
    <x v="0"/>
  </r>
  <r>
    <n v="1081"/>
    <x v="4"/>
    <s v="Commuter"/>
    <x v="32"/>
    <s v="Efficient commuter hybrid bike"/>
    <n v="1200"/>
    <n v="27"/>
    <s v="M"/>
    <x v="0"/>
    <x v="4"/>
    <n v="19"/>
    <x v="31"/>
    <x v="32"/>
    <s v="Ava Wilson"/>
    <x v="0"/>
    <d v="2024-02-19T00:00:00"/>
    <x v="0"/>
    <x v="0"/>
    <x v="0"/>
    <s v="Credit Card"/>
    <x v="0"/>
    <n v="5"/>
    <d v="2024-04-09T00:00:00"/>
    <x v="1"/>
  </r>
  <r>
    <n v="1082"/>
    <x v="4"/>
    <s v="Commuter"/>
    <x v="33"/>
    <s v="High-performance commuter hybrid bike"/>
    <n v="1500"/>
    <n v="25"/>
    <s v="L"/>
    <x v="1"/>
    <x v="7"/>
    <n v="19"/>
    <x v="32"/>
    <x v="33"/>
    <s v="Sophia Taylor"/>
    <x v="6"/>
    <d v="2024-02-20T00:00:00"/>
    <x v="1"/>
    <x v="1"/>
    <x v="1"/>
    <s v="PayPal"/>
    <x v="1"/>
    <n v="1"/>
    <d v="2024-04-06T00:00:00"/>
    <x v="0"/>
  </r>
  <r>
    <n v="1083"/>
    <x v="1"/>
    <s v="Aero"/>
    <x v="34"/>
    <s v="Aerodynamic road bike"/>
    <n v="2800"/>
    <n v="18"/>
    <s v="M"/>
    <x v="1"/>
    <x v="5"/>
    <n v="18"/>
    <x v="33"/>
    <x v="34"/>
    <s v="Benjamin Thompson"/>
    <x v="15"/>
    <d v="2024-02-21T00:00:00"/>
    <x v="2"/>
    <x v="2"/>
    <x v="22"/>
    <s v="Credit Card"/>
    <x v="1"/>
    <n v="2"/>
    <d v="2024-04-08T00:00:00"/>
    <x v="1"/>
  </r>
  <r>
    <n v="1084"/>
    <x v="1"/>
    <s v="Aero"/>
    <x v="35"/>
    <s v="Advanced aerodynamic road bike"/>
    <n v="3200"/>
    <n v="16"/>
    <s v="L"/>
    <x v="2"/>
    <x v="0"/>
    <n v="21"/>
    <x v="34"/>
    <x v="35"/>
    <s v="Harper Martinez"/>
    <x v="8"/>
    <d v="2024-02-22T00:00:00"/>
    <x v="0"/>
    <x v="1"/>
    <x v="23"/>
    <s v="Credit Card"/>
    <x v="0"/>
    <n v="4"/>
    <d v="2024-04-11T00:00:00"/>
    <x v="0"/>
  </r>
  <r>
    <n v="1085"/>
    <x v="2"/>
    <s v="Recumbent"/>
    <x v="36"/>
    <s v="Comfortable recumbent touring bike"/>
    <n v="2000"/>
    <n v="33"/>
    <s v="M"/>
    <x v="0"/>
    <x v="3"/>
    <n v="20"/>
    <x v="35"/>
    <x v="36"/>
    <s v="Ethan Smith"/>
    <x v="0"/>
    <d v="2024-02-23T00:00:00"/>
    <x v="1"/>
    <x v="0"/>
    <x v="16"/>
    <s v="PayPal"/>
    <x v="1"/>
    <n v="2"/>
    <d v="2024-04-10T00:00:00"/>
    <x v="2"/>
  </r>
  <r>
    <n v="1086"/>
    <x v="2"/>
    <s v="Recumbent"/>
    <x v="37"/>
    <s v="High-performance recumbent touring bike"/>
    <n v="2400"/>
    <n v="30"/>
    <s v="L"/>
    <x v="1"/>
    <x v="6"/>
    <n v="18"/>
    <x v="36"/>
    <x v="37"/>
    <s v="Isabella Davis"/>
    <x v="16"/>
    <d v="2024-02-24T00:00:00"/>
    <x v="0"/>
    <x v="1"/>
    <x v="0"/>
    <s v="Credit Card"/>
    <x v="0"/>
    <n v="4"/>
    <d v="2024-04-13T00:00:00"/>
    <x v="0"/>
  </r>
  <r>
    <n v="1087"/>
    <x v="0"/>
    <s v="Downhill"/>
    <x v="38"/>
    <s v="Downhill mountain bike"/>
    <n v="2900"/>
    <n v="34"/>
    <s v="M"/>
    <x v="1"/>
    <x v="1"/>
    <n v="20"/>
    <x v="37"/>
    <x v="38"/>
    <s v="Liam Johnson"/>
    <x v="17"/>
    <d v="2024-02-25T00:00:00"/>
    <x v="0"/>
    <x v="0"/>
    <x v="24"/>
    <s v="PayPal"/>
    <x v="1"/>
    <n v="2"/>
    <d v="2024-04-12T00:00:00"/>
    <x v="1"/>
  </r>
  <r>
    <n v="1088"/>
    <x v="0"/>
    <s v="Downhill"/>
    <x v="39"/>
    <s v="High-performance downhill mountain bike"/>
    <n v="3300"/>
    <n v="32"/>
    <s v="L"/>
    <x v="2"/>
    <x v="2"/>
    <n v="22"/>
    <x v="38"/>
    <x v="39"/>
    <s v="Mia Wilson"/>
    <x v="5"/>
    <d v="2024-02-26T00:00:00"/>
    <x v="1"/>
    <x v="1"/>
    <x v="25"/>
    <s v="PayPal"/>
    <x v="1"/>
    <n v="1"/>
    <d v="2024-04-12T00:00:00"/>
    <x v="0"/>
  </r>
  <r>
    <n v="1101"/>
    <x v="5"/>
    <s v="Balance"/>
    <x v="40"/>
    <s v="Starter balance bike for kids"/>
    <n v="150"/>
    <n v="10"/>
    <s v="M"/>
    <x v="0"/>
    <x v="4"/>
    <n v="20"/>
    <x v="39"/>
    <x v="40"/>
    <s v="Noah Taylor"/>
    <x v="13"/>
    <d v="2024-02-01T00:00:00"/>
    <x v="0"/>
    <x v="0"/>
    <x v="26"/>
    <s v="Credit Card"/>
    <x v="0"/>
    <n v="5"/>
    <d v="2024-04-17T00:00:00"/>
    <x v="1"/>
  </r>
  <r>
    <n v="1102"/>
    <x v="5"/>
    <s v="Balance"/>
    <x v="41"/>
    <s v="Upgraded balance bike for kids"/>
    <n v="200"/>
    <n v="9"/>
    <s v="L"/>
    <x v="1"/>
    <x v="7"/>
    <n v="18"/>
    <x v="40"/>
    <x v="41"/>
    <s v="Sophia Thompson"/>
    <x v="4"/>
    <d v="2024-02-02T00:00:00"/>
    <x v="1"/>
    <x v="1"/>
    <x v="27"/>
    <s v="PayPal"/>
    <x v="1"/>
    <n v="1"/>
    <d v="2024-04-14T00:00:00"/>
    <x v="0"/>
  </r>
  <r>
    <n v="1103"/>
    <x v="6"/>
    <s v="Freestyle"/>
    <x v="42"/>
    <s v="Beginner freestyle BMX bike"/>
    <n v="400"/>
    <n v="25"/>
    <s v="M"/>
    <x v="1"/>
    <x v="5"/>
    <n v="20"/>
    <x v="41"/>
    <x v="42"/>
    <s v="Benjamin Martinez"/>
    <x v="3"/>
    <d v="2024-02-03T00:00:00"/>
    <x v="2"/>
    <x v="2"/>
    <x v="28"/>
    <s v="Credit Card"/>
    <x v="1"/>
    <n v="2"/>
    <d v="2024-04-16T00:00:00"/>
    <x v="1"/>
  </r>
  <r>
    <n v="1104"/>
    <x v="6"/>
    <s v="Freestyle"/>
    <x v="43"/>
    <s v="Advanced freestyle BMX bike"/>
    <n v="600"/>
    <n v="23"/>
    <s v="L"/>
    <x v="2"/>
    <x v="0"/>
    <n v="23"/>
    <x v="42"/>
    <x v="43"/>
    <s v="Harper Smith"/>
    <x v="18"/>
    <d v="2024-02-04T00:00:00"/>
    <x v="0"/>
    <x v="1"/>
    <x v="29"/>
    <s v="Credit Card"/>
    <x v="0"/>
    <n v="4"/>
    <d v="2024-04-19T00:00:00"/>
    <x v="0"/>
  </r>
  <r>
    <n v="1105"/>
    <x v="0"/>
    <s v="Cross Country"/>
    <x v="44"/>
    <s v="Cross country mountain bike"/>
    <n v="1800"/>
    <n v="29"/>
    <s v="M"/>
    <x v="0"/>
    <x v="3"/>
    <n v="21"/>
    <x v="43"/>
    <x v="44"/>
    <s v="Ethan Davis"/>
    <x v="13"/>
    <d v="2024-02-05T00:00:00"/>
    <x v="1"/>
    <x v="0"/>
    <x v="30"/>
    <s v="PayPal"/>
    <x v="1"/>
    <n v="2"/>
    <d v="2024-04-18T00:00:00"/>
    <x v="2"/>
  </r>
  <r>
    <n v="1106"/>
    <x v="0"/>
    <s v="Cross Country"/>
    <x v="45"/>
    <s v="High-performance cross country bike"/>
    <n v="2400"/>
    <n v="27"/>
    <s v="L"/>
    <x v="2"/>
    <x v="1"/>
    <n v="26"/>
    <x v="44"/>
    <x v="45"/>
    <s v="Noah Johnson"/>
    <x v="2"/>
    <d v="2024-02-06T00:00:00"/>
    <x v="0"/>
    <x v="1"/>
    <x v="0"/>
    <s v="Credit Card"/>
    <x v="1"/>
    <n v="3"/>
    <d v="2024-02-09T00:00:00"/>
    <x v="0"/>
  </r>
  <r>
    <n v="1107"/>
    <x v="1"/>
    <s v="Endurance"/>
    <x v="46"/>
    <s v="Endurance road bike"/>
    <n v="2100"/>
    <n v="20"/>
    <s v="M"/>
    <x v="0"/>
    <x v="5"/>
    <n v="30"/>
    <x v="45"/>
    <x v="46"/>
    <s v="James Moore"/>
    <x v="6"/>
    <d v="2024-02-07T00:00:00"/>
    <x v="0"/>
    <x v="0"/>
    <x v="31"/>
    <s v="PayPal"/>
    <x v="0"/>
    <n v="2"/>
    <d v="2024-02-09T00:00:00"/>
    <x v="2"/>
  </r>
  <r>
    <n v="1108"/>
    <x v="1"/>
    <s v="Endurance"/>
    <x v="47"/>
    <s v="High-performance endurance road bike"/>
    <n v="2600"/>
    <n v="18"/>
    <s v="L"/>
    <x v="1"/>
    <x v="1"/>
    <n v="26"/>
    <x v="46"/>
    <x v="47"/>
    <s v="Noah Johnson"/>
    <x v="2"/>
    <d v="2024-02-08T00:00:00"/>
    <x v="1"/>
    <x v="1"/>
    <x v="4"/>
    <s v="Credit Card"/>
    <x v="1"/>
    <n v="1"/>
    <d v="2024-02-09T00:00: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1">
  <location ref="E43:F52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x="4"/>
        <item x="5"/>
        <item x="0"/>
        <item x="7"/>
        <item x="6"/>
        <item x="2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>
      <items count="33">
        <item x="27"/>
        <item x="26"/>
        <item x="29"/>
        <item x="28"/>
        <item x="9"/>
        <item x="1"/>
        <item x="5"/>
        <item x="13"/>
        <item x="11"/>
        <item x="3"/>
        <item x="8"/>
        <item x="17"/>
        <item x="0"/>
        <item x="7"/>
        <item x="4"/>
        <item x="12"/>
        <item x="23"/>
        <item x="25"/>
        <item x="19"/>
        <item x="30"/>
        <item x="21"/>
        <item x="16"/>
        <item x="31"/>
        <item x="6"/>
        <item x="14"/>
        <item x="10"/>
        <item x="2"/>
        <item x="15"/>
        <item x="24"/>
        <item x="18"/>
        <item x="20"/>
        <item x="22"/>
        <item t="default"/>
      </items>
    </pivotField>
    <pivotField showAll="0"/>
    <pivotField showAll="0"/>
    <pivotField showAll="0"/>
    <pivotField numFmtId="14"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 Quantity" fld="17" baseField="0" baseItem="0"/>
  </dataFields>
  <chartFormats count="3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E33:F41" firstHeaderRow="1" firstDataRow="1" firstDataCol="1"/>
  <pivotFields count="24">
    <pivotField showAll="0"/>
    <pivotField axis="axisRow" showAll="0">
      <items count="8">
        <item x="6"/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roduct Stock" fld="10" subtotal="count" baseField="1" baseItem="0"/>
  </dataFields>
  <chartFormats count="3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0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E23:F31" firstHeaderRow="1" firstDataRow="1" firstDataCol="1"/>
  <pivotFields count="24">
    <pivotField showAll="0"/>
    <pivotField axis="axisRow" showAll="0">
      <items count="8">
        <item x="6"/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numFmtId="1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rder Quantity" fld="17" subtotal="count" baseField="1" baseItem="0"/>
  </dataFields>
  <chartFormats count="4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29:B3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Order Total" fld="18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E18:F21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14"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Order ID" fld="11" subtotal="count" baseField="2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8">
  <location ref="A16:B27" firstHeaderRow="1" firstDataRow="1" firstDataCol="1"/>
  <pivotFields count="24">
    <pivotField showAll="0"/>
    <pivotField showAll="0"/>
    <pivotField showAll="0"/>
    <pivotField axis="axisRow" showAll="0" measureFilter="1">
      <items count="49">
        <item x="12"/>
        <item x="13"/>
        <item x="34"/>
        <item x="35"/>
        <item x="32"/>
        <item x="33"/>
        <item x="18"/>
        <item x="19"/>
        <item x="38"/>
        <item x="39"/>
        <item x="20"/>
        <item x="21"/>
        <item x="22"/>
        <item x="23"/>
        <item x="46"/>
        <item x="47"/>
        <item x="14"/>
        <item x="15"/>
        <item x="30"/>
        <item x="31"/>
        <item x="4"/>
        <item x="5"/>
        <item x="16"/>
        <item x="17"/>
        <item x="28"/>
        <item x="29"/>
        <item x="42"/>
        <item x="43"/>
        <item x="26"/>
        <item x="27"/>
        <item x="6"/>
        <item x="7"/>
        <item x="40"/>
        <item x="41"/>
        <item x="8"/>
        <item x="9"/>
        <item x="36"/>
        <item x="37"/>
        <item x="2"/>
        <item x="3"/>
        <item x="0"/>
        <item x="1"/>
        <item x="24"/>
        <item x="25"/>
        <item x="10"/>
        <item x="11"/>
        <item x="44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>
      <items count="33">
        <item x="27"/>
        <item x="26"/>
        <item x="29"/>
        <item x="28"/>
        <item x="9"/>
        <item x="1"/>
        <item x="5"/>
        <item x="13"/>
        <item x="11"/>
        <item x="3"/>
        <item x="8"/>
        <item x="17"/>
        <item x="0"/>
        <item x="7"/>
        <item x="4"/>
        <item x="12"/>
        <item x="23"/>
        <item x="25"/>
        <item x="19"/>
        <item x="30"/>
        <item x="21"/>
        <item x="16"/>
        <item x="31"/>
        <item x="6"/>
        <item x="14"/>
        <item x="10"/>
        <item x="2"/>
        <item x="15"/>
        <item x="24"/>
        <item x="18"/>
        <item x="20"/>
        <item x="22"/>
        <item t="default"/>
      </items>
    </pivotField>
    <pivotField showAll="0"/>
    <pivotField showAll="0"/>
    <pivotField showAll="0"/>
    <pivotField numFmtId="14" showAll="0"/>
    <pivotField showAll="0"/>
  </pivotFields>
  <rowFields count="1">
    <field x="3"/>
  </rowFields>
  <rowItems count="11">
    <i>
      <x v="2"/>
    </i>
    <i>
      <x v="6"/>
    </i>
    <i>
      <x v="8"/>
    </i>
    <i>
      <x v="12"/>
    </i>
    <i>
      <x v="16"/>
    </i>
    <i>
      <x v="18"/>
    </i>
    <i>
      <x v="28"/>
    </i>
    <i>
      <x v="30"/>
    </i>
    <i>
      <x v="38"/>
    </i>
    <i>
      <x v="44"/>
    </i>
    <i t="grand">
      <x/>
    </i>
  </rowItems>
  <colItems count="1">
    <i/>
  </colItems>
  <dataFields count="1">
    <dataField name="Sum of Order Total" fld="18" baseField="0" baseItem="0"/>
  </dataFields>
  <chartFormats count="2">
    <chartFormat chart="2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8">
  <location ref="A6:B14" firstHeaderRow="1" firstDataRow="1" firstDataCol="1"/>
  <pivotFields count="24">
    <pivotField showAll="0"/>
    <pivotField axis="axisRow" showAll="0">
      <items count="8">
        <item x="6"/>
        <item x="3"/>
        <item x="4"/>
        <item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der Total" fld="18" baseField="0" baseItem="0"/>
  </dataFields>
  <chartFormats count="2"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E12:F1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showAll="0"/>
    <pivotField showAll="0"/>
    <pivotField showAll="0"/>
    <pivotField numFmtId="14" showAll="0"/>
    <pivotField axis="axisRow" showAll="0">
      <items count="4">
        <item x="2"/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33">
        <item x="27"/>
        <item x="26"/>
        <item x="29"/>
        <item x="28"/>
        <item x="9"/>
        <item x="1"/>
        <item x="5"/>
        <item x="13"/>
        <item x="11"/>
        <item x="3"/>
        <item x="8"/>
        <item x="17"/>
        <item x="0"/>
        <item x="7"/>
        <item x="4"/>
        <item x="12"/>
        <item x="23"/>
        <item x="25"/>
        <item x="19"/>
        <item x="30"/>
        <item x="21"/>
        <item x="16"/>
        <item x="31"/>
        <item x="6"/>
        <item x="14"/>
        <item x="10"/>
        <item x="2"/>
        <item x="15"/>
        <item x="24"/>
        <item x="18"/>
        <item x="20"/>
        <item x="22"/>
        <item t="default"/>
      </items>
    </pivotField>
    <pivotField showAll="0"/>
    <pivotField showAll="0"/>
    <pivotField showAll="0"/>
    <pivotField numFmtId="14"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1" subtotal="count" baseField="16" baseItem="0"/>
  </dataFields>
  <chartFormats count="9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" firstHeaderRow="0" firstDataRow="1" firstDataCol="0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Order Total" fld="18" baseField="0" baseItem="1"/>
    <dataField name="Total Orders" fld="17" subtotal="count" baseField="0" baseItem="0"/>
    <dataField name="Count of Customer ID" fld="12" subtotal="count" baseField="0" baseItem="0"/>
    <dataField name="Average Shipping Time (in Days)" fld="21" subtotal="average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2">
  <location ref="E6:F1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4">
        <item x="2"/>
        <item x="1"/>
        <item x="0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 ID" fld="12" subtotal="count" baseField="23" baseItem="0"/>
  </dataFields>
  <chartFormats count="5">
    <chartFormat chart="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11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5:B46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20">
        <item x="18"/>
        <item x="13"/>
        <item x="5"/>
        <item x="14"/>
        <item x="6"/>
        <item x="3"/>
        <item x="9"/>
        <item x="10"/>
        <item x="11"/>
        <item x="7"/>
        <item x="2"/>
        <item x="17"/>
        <item x="15"/>
        <item x="16"/>
        <item x="8"/>
        <item x="4"/>
        <item x="12"/>
        <item x="1"/>
        <item x="0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numFmtId="14" showAll="0"/>
    <pivotField showAll="0"/>
  </pivotFields>
  <rowFields count="1">
    <field x="14"/>
  </rowFields>
  <rowItems count="11">
    <i>
      <x v="1"/>
    </i>
    <i>
      <x v="2"/>
    </i>
    <i>
      <x v="3"/>
    </i>
    <i>
      <x v="4"/>
    </i>
    <i>
      <x v="5"/>
    </i>
    <i>
      <x v="8"/>
    </i>
    <i>
      <x v="10"/>
    </i>
    <i>
      <x v="12"/>
    </i>
    <i>
      <x v="15"/>
    </i>
    <i>
      <x v="18"/>
    </i>
    <i t="grand">
      <x/>
    </i>
  </rowItems>
  <colItems count="1">
    <i/>
  </colItems>
  <dataFields count="1">
    <dataField name="Sum of Order Total" fld="18" baseField="0" baseItem="0"/>
  </dataField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workbookViewId="0">
      <selection sqref="A1:X49"/>
    </sheetView>
  </sheetViews>
  <sheetFormatPr defaultRowHeight="14.4" x14ac:dyDescent="0.3"/>
  <cols>
    <col min="1" max="1" width="10.77734375" customWidth="1"/>
    <col min="2" max="2" width="16.77734375" customWidth="1"/>
    <col min="3" max="3" width="21.88671875" customWidth="1"/>
    <col min="4" max="4" width="20.88671875" customWidth="1"/>
    <col min="5" max="5" width="36" customWidth="1"/>
    <col min="6" max="6" width="13.88671875" style="3" customWidth="1"/>
    <col min="7" max="7" width="15.33203125" customWidth="1"/>
    <col min="8" max="8" width="12.44140625" customWidth="1"/>
    <col min="9" max="9" width="14.77734375" customWidth="1"/>
    <col min="10" max="10" width="13.6640625" customWidth="1"/>
    <col min="11" max="11" width="14.109375" customWidth="1"/>
    <col min="13" max="13" width="12.21875" customWidth="1"/>
    <col min="14" max="14" width="14.88671875" customWidth="1"/>
    <col min="15" max="15" width="17.44140625" customWidth="1"/>
    <col min="16" max="16" width="11.5546875" customWidth="1"/>
    <col min="17" max="17" width="13.21875" customWidth="1"/>
    <col min="18" max="18" width="15.6640625" customWidth="1"/>
    <col min="19" max="19" width="12.109375" customWidth="1"/>
    <col min="20" max="20" width="16.33203125" customWidth="1"/>
    <col min="21" max="21" width="17.44140625" customWidth="1"/>
    <col min="22" max="22" width="12.77734375" customWidth="1"/>
    <col min="23" max="23" width="22.21875" customWidth="1"/>
    <col min="24" max="24" width="17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1001</v>
      </c>
      <c r="B2" t="s">
        <v>24</v>
      </c>
      <c r="C2" t="s">
        <v>25</v>
      </c>
      <c r="D2" t="s">
        <v>26</v>
      </c>
      <c r="E2" t="s">
        <v>27</v>
      </c>
      <c r="F2" s="3">
        <v>1200</v>
      </c>
      <c r="G2" s="5">
        <v>25</v>
      </c>
      <c r="H2" t="s">
        <v>28</v>
      </c>
      <c r="I2" t="s">
        <v>29</v>
      </c>
      <c r="J2" t="s">
        <v>30</v>
      </c>
      <c r="K2">
        <v>50</v>
      </c>
      <c r="L2">
        <v>2001</v>
      </c>
      <c r="M2">
        <v>3001</v>
      </c>
      <c r="N2" t="s">
        <v>31</v>
      </c>
      <c r="O2" t="s">
        <v>32</v>
      </c>
      <c r="P2" s="2">
        <v>45352</v>
      </c>
      <c r="Q2" t="s">
        <v>33</v>
      </c>
      <c r="R2">
        <v>2</v>
      </c>
      <c r="S2" s="5">
        <v>2400</v>
      </c>
      <c r="T2" t="s">
        <v>34</v>
      </c>
      <c r="U2" t="s">
        <v>35</v>
      </c>
      <c r="V2">
        <v>3</v>
      </c>
      <c r="W2" s="2">
        <v>45355</v>
      </c>
      <c r="X2" t="s">
        <v>36</v>
      </c>
    </row>
    <row r="3" spans="1:24" x14ac:dyDescent="0.3">
      <c r="A3">
        <v>1002</v>
      </c>
      <c r="B3" t="s">
        <v>24</v>
      </c>
      <c r="C3" t="s">
        <v>25</v>
      </c>
      <c r="D3" t="s">
        <v>37</v>
      </c>
      <c r="E3" t="s">
        <v>38</v>
      </c>
      <c r="F3" s="3">
        <v>1500</v>
      </c>
      <c r="G3" s="5">
        <v>22</v>
      </c>
      <c r="H3" t="s">
        <v>39</v>
      </c>
      <c r="I3" t="s">
        <v>40</v>
      </c>
      <c r="J3" t="s">
        <v>41</v>
      </c>
      <c r="K3">
        <v>20</v>
      </c>
      <c r="L3">
        <v>2002</v>
      </c>
      <c r="M3">
        <v>3002</v>
      </c>
      <c r="N3" t="s">
        <v>42</v>
      </c>
      <c r="O3" t="s">
        <v>43</v>
      </c>
      <c r="P3" s="2">
        <v>45353</v>
      </c>
      <c r="Q3" t="s">
        <v>44</v>
      </c>
      <c r="R3">
        <v>1</v>
      </c>
      <c r="S3" s="5">
        <v>1500</v>
      </c>
      <c r="T3" t="s">
        <v>45</v>
      </c>
      <c r="U3" t="s">
        <v>46</v>
      </c>
      <c r="V3">
        <v>2</v>
      </c>
      <c r="W3" s="2">
        <v>45354</v>
      </c>
      <c r="X3" t="s">
        <v>47</v>
      </c>
    </row>
    <row r="4" spans="1:24" x14ac:dyDescent="0.3">
      <c r="A4">
        <v>1003</v>
      </c>
      <c r="B4" t="s">
        <v>48</v>
      </c>
      <c r="C4" t="s">
        <v>49</v>
      </c>
      <c r="D4" t="s">
        <v>50</v>
      </c>
      <c r="E4" t="s">
        <v>51</v>
      </c>
      <c r="F4" s="3">
        <v>1800</v>
      </c>
      <c r="G4" s="5">
        <v>18</v>
      </c>
      <c r="H4" t="s">
        <v>28</v>
      </c>
      <c r="I4" t="s">
        <v>52</v>
      </c>
      <c r="J4" t="s">
        <v>53</v>
      </c>
      <c r="K4">
        <v>30</v>
      </c>
      <c r="L4">
        <v>2003</v>
      </c>
      <c r="M4">
        <v>3003</v>
      </c>
      <c r="N4" t="s">
        <v>54</v>
      </c>
      <c r="O4" t="s">
        <v>55</v>
      </c>
      <c r="P4" s="2">
        <v>45354</v>
      </c>
      <c r="Q4" t="s">
        <v>56</v>
      </c>
      <c r="R4">
        <v>3</v>
      </c>
      <c r="S4" s="5">
        <v>5400</v>
      </c>
      <c r="T4" t="s">
        <v>34</v>
      </c>
      <c r="U4" t="s">
        <v>35</v>
      </c>
      <c r="V4">
        <v>5</v>
      </c>
      <c r="W4" s="2">
        <v>45358</v>
      </c>
      <c r="X4" t="s">
        <v>36</v>
      </c>
    </row>
    <row r="5" spans="1:24" x14ac:dyDescent="0.3">
      <c r="A5">
        <v>1004</v>
      </c>
      <c r="B5" t="s">
        <v>48</v>
      </c>
      <c r="C5" t="s">
        <v>49</v>
      </c>
      <c r="D5" t="s">
        <v>57</v>
      </c>
      <c r="E5" t="s">
        <v>58</v>
      </c>
      <c r="F5" s="3">
        <v>2100</v>
      </c>
      <c r="G5" s="5">
        <v>16</v>
      </c>
      <c r="H5" t="s">
        <v>39</v>
      </c>
      <c r="I5" t="s">
        <v>29</v>
      </c>
      <c r="J5" t="s">
        <v>59</v>
      </c>
      <c r="K5">
        <v>40</v>
      </c>
      <c r="L5">
        <v>2004</v>
      </c>
      <c r="M5">
        <v>3004</v>
      </c>
      <c r="N5" t="s">
        <v>60</v>
      </c>
      <c r="O5" t="s">
        <v>32</v>
      </c>
      <c r="P5" s="2">
        <v>45355</v>
      </c>
      <c r="Q5" t="s">
        <v>33</v>
      </c>
      <c r="R5">
        <v>1</v>
      </c>
      <c r="S5" s="5">
        <v>2100</v>
      </c>
      <c r="T5" t="s">
        <v>34</v>
      </c>
      <c r="U5" t="s">
        <v>46</v>
      </c>
      <c r="V5">
        <v>1</v>
      </c>
      <c r="W5" s="2">
        <v>45355</v>
      </c>
      <c r="X5" t="s">
        <v>61</v>
      </c>
    </row>
    <row r="6" spans="1:24" x14ac:dyDescent="0.3">
      <c r="A6">
        <v>1005</v>
      </c>
      <c r="B6" t="s">
        <v>62</v>
      </c>
      <c r="C6" t="s">
        <v>63</v>
      </c>
      <c r="D6" t="s">
        <v>64</v>
      </c>
      <c r="E6" t="s">
        <v>65</v>
      </c>
      <c r="F6" s="3">
        <v>1300</v>
      </c>
      <c r="G6" s="5">
        <v>27</v>
      </c>
      <c r="H6" t="s">
        <v>28</v>
      </c>
      <c r="I6" t="s">
        <v>40</v>
      </c>
      <c r="J6" t="s">
        <v>66</v>
      </c>
      <c r="K6">
        <v>25</v>
      </c>
      <c r="L6">
        <v>2005</v>
      </c>
      <c r="M6">
        <v>3005</v>
      </c>
      <c r="N6" t="s">
        <v>67</v>
      </c>
      <c r="O6" t="s">
        <v>68</v>
      </c>
      <c r="P6" s="2">
        <v>45356</v>
      </c>
      <c r="Q6" t="s">
        <v>44</v>
      </c>
      <c r="R6">
        <v>2</v>
      </c>
      <c r="S6" s="5">
        <v>2600</v>
      </c>
      <c r="T6" t="s">
        <v>45</v>
      </c>
      <c r="U6" t="s">
        <v>35</v>
      </c>
      <c r="V6">
        <v>4</v>
      </c>
      <c r="W6" s="2">
        <v>45359</v>
      </c>
      <c r="X6" t="s">
        <v>36</v>
      </c>
    </row>
    <row r="7" spans="1:24" x14ac:dyDescent="0.3">
      <c r="A7">
        <v>1006</v>
      </c>
      <c r="B7" t="s">
        <v>62</v>
      </c>
      <c r="C7" t="s">
        <v>63</v>
      </c>
      <c r="D7" t="s">
        <v>69</v>
      </c>
      <c r="E7" t="s">
        <v>70</v>
      </c>
      <c r="F7" s="3">
        <v>1600</v>
      </c>
      <c r="G7" s="5">
        <v>24</v>
      </c>
      <c r="H7" t="s">
        <v>39</v>
      </c>
      <c r="I7" t="s">
        <v>40</v>
      </c>
      <c r="J7" t="s">
        <v>30</v>
      </c>
      <c r="K7">
        <v>15</v>
      </c>
      <c r="L7">
        <v>2006</v>
      </c>
      <c r="M7">
        <v>3006</v>
      </c>
      <c r="N7" t="s">
        <v>71</v>
      </c>
      <c r="O7" t="s">
        <v>72</v>
      </c>
      <c r="P7" s="2">
        <v>45357</v>
      </c>
      <c r="Q7" t="s">
        <v>33</v>
      </c>
      <c r="R7">
        <v>1</v>
      </c>
      <c r="S7" s="5">
        <v>1600</v>
      </c>
      <c r="T7" t="s">
        <v>34</v>
      </c>
      <c r="U7" t="s">
        <v>46</v>
      </c>
      <c r="V7">
        <v>2</v>
      </c>
      <c r="W7" s="2">
        <v>45358</v>
      </c>
      <c r="X7" t="s">
        <v>36</v>
      </c>
    </row>
    <row r="8" spans="1:24" x14ac:dyDescent="0.3">
      <c r="A8">
        <v>1007</v>
      </c>
      <c r="B8" t="s">
        <v>24</v>
      </c>
      <c r="C8" t="s">
        <v>73</v>
      </c>
      <c r="D8" t="s">
        <v>74</v>
      </c>
      <c r="E8" t="s">
        <v>75</v>
      </c>
      <c r="F8" s="3">
        <v>2200</v>
      </c>
      <c r="G8" s="5">
        <v>29</v>
      </c>
      <c r="H8" t="s">
        <v>28</v>
      </c>
      <c r="I8" t="s">
        <v>52</v>
      </c>
      <c r="J8" t="s">
        <v>76</v>
      </c>
      <c r="K8">
        <v>25</v>
      </c>
      <c r="L8">
        <v>2007</v>
      </c>
      <c r="M8">
        <v>3007</v>
      </c>
      <c r="N8" t="s">
        <v>77</v>
      </c>
      <c r="O8" t="s">
        <v>78</v>
      </c>
      <c r="P8" s="2">
        <v>45358</v>
      </c>
      <c r="Q8" t="s">
        <v>33</v>
      </c>
      <c r="R8">
        <v>2</v>
      </c>
      <c r="S8" s="5">
        <v>4400</v>
      </c>
      <c r="T8" t="s">
        <v>45</v>
      </c>
      <c r="U8" t="s">
        <v>35</v>
      </c>
      <c r="V8">
        <v>5</v>
      </c>
      <c r="W8" s="2">
        <v>45362</v>
      </c>
      <c r="X8" t="s">
        <v>61</v>
      </c>
    </row>
    <row r="9" spans="1:24" x14ac:dyDescent="0.3">
      <c r="A9">
        <v>1008</v>
      </c>
      <c r="B9" t="s">
        <v>24</v>
      </c>
      <c r="C9" t="s">
        <v>73</v>
      </c>
      <c r="D9" t="s">
        <v>79</v>
      </c>
      <c r="E9" t="s">
        <v>75</v>
      </c>
      <c r="F9" s="3">
        <v>2500</v>
      </c>
      <c r="G9" s="5">
        <v>27</v>
      </c>
      <c r="H9" t="s">
        <v>39</v>
      </c>
      <c r="I9" t="s">
        <v>29</v>
      </c>
      <c r="J9" t="s">
        <v>80</v>
      </c>
      <c r="K9">
        <v>35</v>
      </c>
      <c r="L9">
        <v>2008</v>
      </c>
      <c r="M9">
        <v>3008</v>
      </c>
      <c r="N9" t="s">
        <v>81</v>
      </c>
      <c r="O9" t="s">
        <v>32</v>
      </c>
      <c r="P9" s="2">
        <v>45359</v>
      </c>
      <c r="Q9" t="s">
        <v>44</v>
      </c>
      <c r="R9">
        <v>1</v>
      </c>
      <c r="S9" s="5">
        <v>2500</v>
      </c>
      <c r="T9" t="s">
        <v>34</v>
      </c>
      <c r="U9" t="s">
        <v>46</v>
      </c>
      <c r="V9">
        <v>1</v>
      </c>
      <c r="W9" s="2">
        <v>45359</v>
      </c>
      <c r="X9" t="s">
        <v>36</v>
      </c>
    </row>
    <row r="10" spans="1:24" x14ac:dyDescent="0.3">
      <c r="A10">
        <v>1021</v>
      </c>
      <c r="B10" t="s">
        <v>24</v>
      </c>
      <c r="C10" t="s">
        <v>82</v>
      </c>
      <c r="D10" t="s">
        <v>83</v>
      </c>
      <c r="E10" t="s">
        <v>84</v>
      </c>
      <c r="F10" s="3">
        <v>1100</v>
      </c>
      <c r="G10" s="5">
        <v>24</v>
      </c>
      <c r="H10" t="s">
        <v>28</v>
      </c>
      <c r="I10" t="s">
        <v>40</v>
      </c>
      <c r="J10" t="s">
        <v>41</v>
      </c>
      <c r="K10">
        <v>30</v>
      </c>
      <c r="L10">
        <v>2021</v>
      </c>
      <c r="M10">
        <v>3021</v>
      </c>
      <c r="N10" t="s">
        <v>85</v>
      </c>
      <c r="O10" t="s">
        <v>86</v>
      </c>
      <c r="P10" s="2">
        <v>45372</v>
      </c>
      <c r="Q10" t="s">
        <v>33</v>
      </c>
      <c r="R10">
        <v>2</v>
      </c>
      <c r="S10" s="5">
        <v>2200</v>
      </c>
      <c r="T10" t="s">
        <v>34</v>
      </c>
      <c r="U10" t="s">
        <v>35</v>
      </c>
      <c r="V10">
        <v>4</v>
      </c>
      <c r="W10" s="2">
        <v>45363</v>
      </c>
      <c r="X10" t="s">
        <v>47</v>
      </c>
    </row>
    <row r="11" spans="1:24" x14ac:dyDescent="0.3">
      <c r="A11">
        <v>1022</v>
      </c>
      <c r="B11" t="s">
        <v>24</v>
      </c>
      <c r="C11" t="s">
        <v>82</v>
      </c>
      <c r="D11" t="s">
        <v>87</v>
      </c>
      <c r="E11" t="s">
        <v>88</v>
      </c>
      <c r="F11" s="3">
        <v>1400</v>
      </c>
      <c r="G11" s="5">
        <v>21</v>
      </c>
      <c r="H11" t="s">
        <v>39</v>
      </c>
      <c r="I11" t="s">
        <v>40</v>
      </c>
      <c r="J11" t="s">
        <v>30</v>
      </c>
      <c r="K11">
        <v>20</v>
      </c>
      <c r="L11">
        <v>2022</v>
      </c>
      <c r="M11">
        <v>3022</v>
      </c>
      <c r="N11" t="s">
        <v>89</v>
      </c>
      <c r="O11" t="s">
        <v>68</v>
      </c>
      <c r="P11" s="2">
        <v>45373</v>
      </c>
      <c r="Q11" t="s">
        <v>44</v>
      </c>
      <c r="R11">
        <v>1</v>
      </c>
      <c r="S11" s="5">
        <v>1400</v>
      </c>
      <c r="T11" t="s">
        <v>45</v>
      </c>
      <c r="U11" t="s">
        <v>46</v>
      </c>
      <c r="V11">
        <v>2</v>
      </c>
      <c r="W11" s="2">
        <v>45365</v>
      </c>
      <c r="X11" t="s">
        <v>36</v>
      </c>
    </row>
    <row r="12" spans="1:24" x14ac:dyDescent="0.3">
      <c r="A12">
        <v>1023</v>
      </c>
      <c r="B12" t="s">
        <v>48</v>
      </c>
      <c r="C12" t="s">
        <v>90</v>
      </c>
      <c r="D12" t="s">
        <v>91</v>
      </c>
      <c r="E12" t="s">
        <v>92</v>
      </c>
      <c r="F12" s="3">
        <v>1700</v>
      </c>
      <c r="G12" s="5">
        <v>20</v>
      </c>
      <c r="H12" t="s">
        <v>28</v>
      </c>
      <c r="I12" t="s">
        <v>52</v>
      </c>
      <c r="J12" t="s">
        <v>66</v>
      </c>
      <c r="K12">
        <v>18</v>
      </c>
      <c r="L12">
        <v>2024</v>
      </c>
      <c r="M12">
        <v>3023</v>
      </c>
      <c r="N12" t="s">
        <v>93</v>
      </c>
      <c r="O12" t="s">
        <v>55</v>
      </c>
      <c r="P12" s="2">
        <v>45374</v>
      </c>
      <c r="Q12" t="s">
        <v>56</v>
      </c>
      <c r="R12">
        <v>3</v>
      </c>
      <c r="S12" s="5">
        <v>5100</v>
      </c>
      <c r="T12" t="s">
        <v>34</v>
      </c>
      <c r="U12" t="s">
        <v>35</v>
      </c>
      <c r="V12">
        <v>5</v>
      </c>
      <c r="W12" s="2">
        <v>45369</v>
      </c>
      <c r="X12" t="s">
        <v>47</v>
      </c>
    </row>
    <row r="13" spans="1:24" x14ac:dyDescent="0.3">
      <c r="A13">
        <v>1024</v>
      </c>
      <c r="B13" t="s">
        <v>48</v>
      </c>
      <c r="C13" t="s">
        <v>90</v>
      </c>
      <c r="D13" t="s">
        <v>94</v>
      </c>
      <c r="E13" t="s">
        <v>95</v>
      </c>
      <c r="F13" s="3">
        <v>2000</v>
      </c>
      <c r="G13" s="5">
        <v>18</v>
      </c>
      <c r="H13" t="s">
        <v>39</v>
      </c>
      <c r="I13" t="s">
        <v>29</v>
      </c>
      <c r="J13" t="s">
        <v>59</v>
      </c>
      <c r="K13">
        <v>22</v>
      </c>
      <c r="L13">
        <v>2024</v>
      </c>
      <c r="M13">
        <v>3024</v>
      </c>
      <c r="N13" t="s">
        <v>96</v>
      </c>
      <c r="O13" t="s">
        <v>32</v>
      </c>
      <c r="P13" s="2">
        <v>45375</v>
      </c>
      <c r="Q13" t="s">
        <v>33</v>
      </c>
      <c r="R13">
        <v>1</v>
      </c>
      <c r="S13" s="5">
        <v>2000</v>
      </c>
      <c r="T13" t="s">
        <v>34</v>
      </c>
      <c r="U13" t="s">
        <v>46</v>
      </c>
      <c r="V13">
        <v>1</v>
      </c>
      <c r="W13" s="2">
        <v>45366</v>
      </c>
      <c r="X13" t="s">
        <v>36</v>
      </c>
    </row>
    <row r="14" spans="1:24" x14ac:dyDescent="0.3">
      <c r="A14">
        <v>1025</v>
      </c>
      <c r="B14" t="s">
        <v>62</v>
      </c>
      <c r="C14" t="s">
        <v>90</v>
      </c>
      <c r="D14" t="s">
        <v>97</v>
      </c>
      <c r="E14" t="s">
        <v>98</v>
      </c>
      <c r="F14" s="3">
        <v>1500</v>
      </c>
      <c r="G14" s="5">
        <v>28</v>
      </c>
      <c r="H14" t="s">
        <v>28</v>
      </c>
      <c r="I14" t="s">
        <v>40</v>
      </c>
      <c r="J14" t="s">
        <v>53</v>
      </c>
      <c r="K14">
        <v>23</v>
      </c>
      <c r="L14">
        <v>2025</v>
      </c>
      <c r="M14">
        <v>3025</v>
      </c>
      <c r="N14" t="s">
        <v>99</v>
      </c>
      <c r="O14" t="s">
        <v>43</v>
      </c>
      <c r="P14" s="2">
        <v>45376</v>
      </c>
      <c r="Q14" t="s">
        <v>44</v>
      </c>
      <c r="R14">
        <v>2</v>
      </c>
      <c r="S14" s="5">
        <v>3000</v>
      </c>
      <c r="T14" t="s">
        <v>45</v>
      </c>
      <c r="U14" t="s">
        <v>35</v>
      </c>
      <c r="V14">
        <v>4</v>
      </c>
      <c r="W14" s="2">
        <v>45370</v>
      </c>
      <c r="X14" t="s">
        <v>47</v>
      </c>
    </row>
    <row r="15" spans="1:24" x14ac:dyDescent="0.3">
      <c r="A15">
        <v>1026</v>
      </c>
      <c r="B15" t="s">
        <v>62</v>
      </c>
      <c r="C15" t="s">
        <v>100</v>
      </c>
      <c r="D15" t="s">
        <v>101</v>
      </c>
      <c r="E15" t="s">
        <v>102</v>
      </c>
      <c r="F15" s="3">
        <v>1800</v>
      </c>
      <c r="G15" s="5">
        <v>26</v>
      </c>
      <c r="H15" t="s">
        <v>39</v>
      </c>
      <c r="I15" t="s">
        <v>52</v>
      </c>
      <c r="J15" t="s">
        <v>80</v>
      </c>
      <c r="K15">
        <v>20</v>
      </c>
      <c r="L15">
        <v>2026</v>
      </c>
      <c r="M15">
        <v>3026</v>
      </c>
      <c r="N15" t="s">
        <v>103</v>
      </c>
      <c r="O15" t="s">
        <v>78</v>
      </c>
      <c r="P15" s="2">
        <v>45377</v>
      </c>
      <c r="Q15" t="s">
        <v>33</v>
      </c>
      <c r="R15">
        <v>1</v>
      </c>
      <c r="S15" s="5">
        <v>1800</v>
      </c>
      <c r="T15" t="s">
        <v>34</v>
      </c>
      <c r="U15" t="s">
        <v>46</v>
      </c>
      <c r="V15">
        <v>2</v>
      </c>
      <c r="W15" s="2">
        <v>45369</v>
      </c>
      <c r="X15" t="s">
        <v>36</v>
      </c>
    </row>
    <row r="16" spans="1:24" x14ac:dyDescent="0.3">
      <c r="A16">
        <v>1027</v>
      </c>
      <c r="B16" t="s">
        <v>24</v>
      </c>
      <c r="C16" t="s">
        <v>104</v>
      </c>
      <c r="D16" t="s">
        <v>105</v>
      </c>
      <c r="E16" t="s">
        <v>106</v>
      </c>
      <c r="F16" s="3">
        <v>2300</v>
      </c>
      <c r="G16" s="5">
        <v>30</v>
      </c>
      <c r="H16" t="s">
        <v>28</v>
      </c>
      <c r="I16" t="s">
        <v>29</v>
      </c>
      <c r="J16" t="s">
        <v>41</v>
      </c>
      <c r="K16">
        <v>18</v>
      </c>
      <c r="L16">
        <v>2027</v>
      </c>
      <c r="M16">
        <v>3027</v>
      </c>
      <c r="N16" t="s">
        <v>107</v>
      </c>
      <c r="O16" t="s">
        <v>32</v>
      </c>
      <c r="P16" s="2">
        <v>45378</v>
      </c>
      <c r="Q16" t="s">
        <v>33</v>
      </c>
      <c r="R16">
        <v>2</v>
      </c>
      <c r="S16" s="5">
        <v>4600</v>
      </c>
      <c r="T16" t="s">
        <v>45</v>
      </c>
      <c r="U16" t="s">
        <v>35</v>
      </c>
      <c r="V16">
        <v>5</v>
      </c>
      <c r="W16" s="2">
        <v>45373</v>
      </c>
      <c r="X16" t="s">
        <v>61</v>
      </c>
    </row>
    <row r="17" spans="1:24" x14ac:dyDescent="0.3">
      <c r="A17">
        <v>1028</v>
      </c>
      <c r="B17" t="s">
        <v>24</v>
      </c>
      <c r="C17" t="s">
        <v>104</v>
      </c>
      <c r="D17" t="s">
        <v>108</v>
      </c>
      <c r="E17" t="s">
        <v>109</v>
      </c>
      <c r="F17" s="3">
        <v>2600</v>
      </c>
      <c r="G17" s="5">
        <v>28</v>
      </c>
      <c r="H17" t="s">
        <v>39</v>
      </c>
      <c r="I17" t="s">
        <v>40</v>
      </c>
      <c r="J17" t="s">
        <v>30</v>
      </c>
      <c r="K17">
        <v>20</v>
      </c>
      <c r="L17">
        <v>2028</v>
      </c>
      <c r="M17">
        <v>3028</v>
      </c>
      <c r="N17" t="s">
        <v>110</v>
      </c>
      <c r="O17" t="s">
        <v>111</v>
      </c>
      <c r="P17" s="2">
        <v>45379</v>
      </c>
      <c r="Q17" t="s">
        <v>44</v>
      </c>
      <c r="R17">
        <v>1</v>
      </c>
      <c r="S17" s="5">
        <v>2600</v>
      </c>
      <c r="T17" t="s">
        <v>34</v>
      </c>
      <c r="U17" t="s">
        <v>46</v>
      </c>
      <c r="V17">
        <v>1</v>
      </c>
      <c r="W17" s="2">
        <v>45370</v>
      </c>
      <c r="X17" t="s">
        <v>36</v>
      </c>
    </row>
    <row r="18" spans="1:24" x14ac:dyDescent="0.3">
      <c r="A18">
        <v>1041</v>
      </c>
      <c r="B18" t="s">
        <v>24</v>
      </c>
      <c r="C18" t="s">
        <v>112</v>
      </c>
      <c r="D18" t="s">
        <v>113</v>
      </c>
      <c r="E18" t="s">
        <v>114</v>
      </c>
      <c r="F18" s="3">
        <v>1300</v>
      </c>
      <c r="G18" s="5">
        <v>32</v>
      </c>
      <c r="H18" t="s">
        <v>28</v>
      </c>
      <c r="I18" t="s">
        <v>52</v>
      </c>
      <c r="J18" t="s">
        <v>59</v>
      </c>
      <c r="K18">
        <v>20</v>
      </c>
      <c r="L18">
        <v>2041</v>
      </c>
      <c r="M18">
        <v>3041</v>
      </c>
      <c r="N18" t="s">
        <v>115</v>
      </c>
      <c r="O18" t="s">
        <v>116</v>
      </c>
      <c r="P18" s="2">
        <v>45362</v>
      </c>
      <c r="Q18" t="s">
        <v>33</v>
      </c>
      <c r="R18">
        <v>2</v>
      </c>
      <c r="S18" s="5">
        <v>2600</v>
      </c>
      <c r="T18" t="s">
        <v>34</v>
      </c>
      <c r="U18" t="s">
        <v>35</v>
      </c>
      <c r="V18">
        <v>4</v>
      </c>
      <c r="W18" s="2">
        <v>45374</v>
      </c>
      <c r="X18" t="s">
        <v>47</v>
      </c>
    </row>
    <row r="19" spans="1:24" x14ac:dyDescent="0.3">
      <c r="A19">
        <v>1042</v>
      </c>
      <c r="B19" t="s">
        <v>24</v>
      </c>
      <c r="C19" t="s">
        <v>112</v>
      </c>
      <c r="D19" t="s">
        <v>117</v>
      </c>
      <c r="E19" t="s">
        <v>118</v>
      </c>
      <c r="F19" s="3">
        <v>1600</v>
      </c>
      <c r="G19" s="5">
        <v>29</v>
      </c>
      <c r="H19" t="s">
        <v>39</v>
      </c>
      <c r="I19" t="s">
        <v>40</v>
      </c>
      <c r="J19" t="s">
        <v>66</v>
      </c>
      <c r="K19">
        <v>20</v>
      </c>
      <c r="L19">
        <v>2042</v>
      </c>
      <c r="M19">
        <v>3042</v>
      </c>
      <c r="N19" t="s">
        <v>119</v>
      </c>
      <c r="O19" t="s">
        <v>86</v>
      </c>
      <c r="P19" s="2">
        <v>45363</v>
      </c>
      <c r="Q19" t="s">
        <v>44</v>
      </c>
      <c r="R19">
        <v>1</v>
      </c>
      <c r="S19" s="5">
        <v>1600</v>
      </c>
      <c r="T19" t="s">
        <v>45</v>
      </c>
      <c r="U19" t="s">
        <v>46</v>
      </c>
      <c r="V19">
        <v>2</v>
      </c>
      <c r="W19" s="2">
        <v>45373</v>
      </c>
      <c r="X19" t="s">
        <v>36</v>
      </c>
    </row>
    <row r="20" spans="1:24" x14ac:dyDescent="0.3">
      <c r="A20">
        <v>1043</v>
      </c>
      <c r="B20" t="s">
        <v>48</v>
      </c>
      <c r="C20" t="s">
        <v>120</v>
      </c>
      <c r="D20" t="s">
        <v>121</v>
      </c>
      <c r="E20" t="s">
        <v>122</v>
      </c>
      <c r="F20" s="3">
        <v>1900</v>
      </c>
      <c r="G20" s="5">
        <v>21</v>
      </c>
      <c r="H20" t="s">
        <v>28</v>
      </c>
      <c r="I20" t="s">
        <v>52</v>
      </c>
      <c r="J20" t="s">
        <v>80</v>
      </c>
      <c r="K20">
        <v>18</v>
      </c>
      <c r="L20">
        <v>2043</v>
      </c>
      <c r="M20">
        <v>3043</v>
      </c>
      <c r="N20" t="s">
        <v>123</v>
      </c>
      <c r="O20" t="s">
        <v>32</v>
      </c>
      <c r="P20" s="2">
        <v>45364</v>
      </c>
      <c r="Q20" t="s">
        <v>56</v>
      </c>
      <c r="R20">
        <v>3</v>
      </c>
      <c r="S20" s="5">
        <v>5700</v>
      </c>
      <c r="T20" t="s">
        <v>34</v>
      </c>
      <c r="U20" t="s">
        <v>35</v>
      </c>
      <c r="V20">
        <v>5</v>
      </c>
      <c r="W20" s="2">
        <v>45377</v>
      </c>
      <c r="X20" t="s">
        <v>47</v>
      </c>
    </row>
    <row r="21" spans="1:24" x14ac:dyDescent="0.3">
      <c r="A21">
        <v>1044</v>
      </c>
      <c r="B21" t="s">
        <v>48</v>
      </c>
      <c r="C21" t="s">
        <v>120</v>
      </c>
      <c r="D21" t="s">
        <v>124</v>
      </c>
      <c r="E21" t="s">
        <v>125</v>
      </c>
      <c r="F21" s="3">
        <v>2200</v>
      </c>
      <c r="G21" s="5">
        <v>19</v>
      </c>
      <c r="H21" t="s">
        <v>39</v>
      </c>
      <c r="I21" t="s">
        <v>40</v>
      </c>
      <c r="J21" t="s">
        <v>30</v>
      </c>
      <c r="K21">
        <v>20</v>
      </c>
      <c r="L21">
        <v>2044</v>
      </c>
      <c r="M21">
        <v>3044</v>
      </c>
      <c r="N21" t="s">
        <v>126</v>
      </c>
      <c r="O21" t="s">
        <v>127</v>
      </c>
      <c r="P21" s="2">
        <v>45365</v>
      </c>
      <c r="Q21" t="s">
        <v>33</v>
      </c>
      <c r="R21">
        <v>1</v>
      </c>
      <c r="S21" s="5">
        <v>2200</v>
      </c>
      <c r="T21" t="s">
        <v>34</v>
      </c>
      <c r="U21" t="s">
        <v>46</v>
      </c>
      <c r="V21">
        <v>2</v>
      </c>
      <c r="W21" s="2">
        <v>45375</v>
      </c>
      <c r="X21" t="s">
        <v>36</v>
      </c>
    </row>
    <row r="22" spans="1:24" x14ac:dyDescent="0.3">
      <c r="A22">
        <v>1045</v>
      </c>
      <c r="B22" t="s">
        <v>62</v>
      </c>
      <c r="C22" t="s">
        <v>128</v>
      </c>
      <c r="D22" t="s">
        <v>129</v>
      </c>
      <c r="E22" t="s">
        <v>130</v>
      </c>
      <c r="F22" s="3">
        <v>2000</v>
      </c>
      <c r="G22" s="5">
        <v>36</v>
      </c>
      <c r="H22" t="s">
        <v>28</v>
      </c>
      <c r="I22" t="s">
        <v>52</v>
      </c>
      <c r="J22" t="s">
        <v>66</v>
      </c>
      <c r="K22">
        <v>18</v>
      </c>
      <c r="L22">
        <v>2045</v>
      </c>
      <c r="M22">
        <v>3045</v>
      </c>
      <c r="N22" t="s">
        <v>131</v>
      </c>
      <c r="O22" t="s">
        <v>132</v>
      </c>
      <c r="P22" s="2">
        <v>45366</v>
      </c>
      <c r="Q22" t="s">
        <v>44</v>
      </c>
      <c r="R22">
        <v>2</v>
      </c>
      <c r="S22" s="5">
        <v>4000</v>
      </c>
      <c r="T22" t="s">
        <v>45</v>
      </c>
      <c r="U22" t="s">
        <v>35</v>
      </c>
      <c r="V22">
        <v>5</v>
      </c>
      <c r="W22" s="2">
        <v>45379</v>
      </c>
      <c r="X22" t="s">
        <v>47</v>
      </c>
    </row>
    <row r="23" spans="1:24" x14ac:dyDescent="0.3">
      <c r="A23">
        <v>1046</v>
      </c>
      <c r="B23" t="s">
        <v>62</v>
      </c>
      <c r="C23" t="s">
        <v>128</v>
      </c>
      <c r="D23" t="s">
        <v>133</v>
      </c>
      <c r="E23" t="s">
        <v>134</v>
      </c>
      <c r="F23" s="5">
        <v>2300</v>
      </c>
      <c r="G23" s="5">
        <v>34</v>
      </c>
      <c r="H23" t="s">
        <v>39</v>
      </c>
      <c r="I23" t="s">
        <v>29</v>
      </c>
      <c r="J23" t="s">
        <v>59</v>
      </c>
      <c r="K23">
        <v>22</v>
      </c>
      <c r="L23">
        <v>2046</v>
      </c>
      <c r="M23">
        <v>3046</v>
      </c>
      <c r="N23" t="s">
        <v>135</v>
      </c>
      <c r="O23" t="s">
        <v>32</v>
      </c>
      <c r="P23" s="2">
        <v>45367</v>
      </c>
      <c r="Q23" t="s">
        <v>33</v>
      </c>
      <c r="R23">
        <v>1</v>
      </c>
      <c r="S23" s="5">
        <v>2300</v>
      </c>
      <c r="T23" t="s">
        <v>34</v>
      </c>
      <c r="U23" t="s">
        <v>46</v>
      </c>
      <c r="V23">
        <v>1</v>
      </c>
      <c r="W23" s="2">
        <v>45376</v>
      </c>
      <c r="X23" t="s">
        <v>36</v>
      </c>
    </row>
    <row r="24" spans="1:24" x14ac:dyDescent="0.3">
      <c r="A24">
        <v>1047</v>
      </c>
      <c r="B24" t="s">
        <v>24</v>
      </c>
      <c r="C24" t="s">
        <v>136</v>
      </c>
      <c r="D24" t="s">
        <v>137</v>
      </c>
      <c r="E24" t="s">
        <v>138</v>
      </c>
      <c r="F24" s="5">
        <v>3000</v>
      </c>
      <c r="G24" s="5">
        <v>40</v>
      </c>
      <c r="H24" t="s">
        <v>28</v>
      </c>
      <c r="I24" t="s">
        <v>40</v>
      </c>
      <c r="J24" t="s">
        <v>53</v>
      </c>
      <c r="K24">
        <v>23</v>
      </c>
      <c r="L24">
        <v>2047</v>
      </c>
      <c r="M24">
        <v>3047</v>
      </c>
      <c r="N24" t="s">
        <v>139</v>
      </c>
      <c r="O24" t="s">
        <v>140</v>
      </c>
      <c r="P24" s="2">
        <v>45368</v>
      </c>
      <c r="Q24" t="s">
        <v>33</v>
      </c>
      <c r="R24">
        <v>2</v>
      </c>
      <c r="S24" s="5">
        <v>6000</v>
      </c>
      <c r="T24" t="s">
        <v>45</v>
      </c>
      <c r="U24" t="s">
        <v>35</v>
      </c>
      <c r="V24">
        <v>4</v>
      </c>
      <c r="W24" s="2">
        <v>45380</v>
      </c>
      <c r="X24" t="s">
        <v>47</v>
      </c>
    </row>
    <row r="25" spans="1:24" x14ac:dyDescent="0.3">
      <c r="A25">
        <v>1048</v>
      </c>
      <c r="B25" t="s">
        <v>24</v>
      </c>
      <c r="C25" t="s">
        <v>136</v>
      </c>
      <c r="D25" t="s">
        <v>141</v>
      </c>
      <c r="E25" t="s">
        <v>142</v>
      </c>
      <c r="F25" s="5">
        <v>3500</v>
      </c>
      <c r="G25" s="5">
        <v>38</v>
      </c>
      <c r="H25" t="s">
        <v>39</v>
      </c>
      <c r="I25" t="s">
        <v>52</v>
      </c>
      <c r="J25" t="s">
        <v>80</v>
      </c>
      <c r="K25">
        <v>20</v>
      </c>
      <c r="L25">
        <v>2048</v>
      </c>
      <c r="M25">
        <v>3048</v>
      </c>
      <c r="N25" t="s">
        <v>143</v>
      </c>
      <c r="O25" t="s">
        <v>144</v>
      </c>
      <c r="P25" s="2">
        <v>45369</v>
      </c>
      <c r="Q25" t="s">
        <v>44</v>
      </c>
      <c r="R25">
        <v>1</v>
      </c>
      <c r="S25" s="5">
        <v>3500</v>
      </c>
      <c r="T25" t="s">
        <v>34</v>
      </c>
      <c r="U25" t="s">
        <v>46</v>
      </c>
      <c r="V25">
        <v>2</v>
      </c>
      <c r="W25" s="2">
        <v>45379</v>
      </c>
      <c r="X25" t="s">
        <v>36</v>
      </c>
    </row>
    <row r="26" spans="1:24" x14ac:dyDescent="0.3">
      <c r="A26">
        <v>1061</v>
      </c>
      <c r="B26" t="s">
        <v>145</v>
      </c>
      <c r="C26" t="s">
        <v>146</v>
      </c>
      <c r="D26" t="s">
        <v>147</v>
      </c>
      <c r="E26" t="s">
        <v>148</v>
      </c>
      <c r="F26" s="5">
        <v>2000</v>
      </c>
      <c r="G26" s="5">
        <v>35</v>
      </c>
      <c r="H26" t="s">
        <v>28</v>
      </c>
      <c r="I26" t="s">
        <v>29</v>
      </c>
      <c r="J26" t="s">
        <v>41</v>
      </c>
      <c r="K26">
        <v>18</v>
      </c>
      <c r="L26">
        <v>2061</v>
      </c>
      <c r="M26">
        <v>3061</v>
      </c>
      <c r="N26" t="s">
        <v>149</v>
      </c>
      <c r="O26" t="s">
        <v>150</v>
      </c>
      <c r="P26" s="2">
        <v>45352</v>
      </c>
      <c r="Q26" t="s">
        <v>33</v>
      </c>
      <c r="R26">
        <v>2</v>
      </c>
      <c r="S26" s="5">
        <v>4000</v>
      </c>
      <c r="T26" t="s">
        <v>34</v>
      </c>
      <c r="U26" t="s">
        <v>35</v>
      </c>
      <c r="V26">
        <v>5</v>
      </c>
      <c r="W26" s="2">
        <v>45383</v>
      </c>
      <c r="X26" t="s">
        <v>61</v>
      </c>
    </row>
    <row r="27" spans="1:24" x14ac:dyDescent="0.3">
      <c r="A27">
        <v>1062</v>
      </c>
      <c r="B27" t="s">
        <v>145</v>
      </c>
      <c r="C27" t="s">
        <v>146</v>
      </c>
      <c r="D27" t="s">
        <v>151</v>
      </c>
      <c r="E27" t="s">
        <v>152</v>
      </c>
      <c r="F27" s="5">
        <v>2500</v>
      </c>
      <c r="G27" s="5">
        <v>33</v>
      </c>
      <c r="H27" t="s">
        <v>39</v>
      </c>
      <c r="I27" t="s">
        <v>40</v>
      </c>
      <c r="J27" t="s">
        <v>153</v>
      </c>
      <c r="K27">
        <v>20</v>
      </c>
      <c r="L27">
        <v>2062</v>
      </c>
      <c r="M27">
        <v>3062</v>
      </c>
      <c r="N27" t="s">
        <v>154</v>
      </c>
      <c r="O27" t="s">
        <v>68</v>
      </c>
      <c r="P27" s="2">
        <v>45353</v>
      </c>
      <c r="Q27" t="s">
        <v>44</v>
      </c>
      <c r="R27">
        <v>1</v>
      </c>
      <c r="S27" s="5">
        <v>2500</v>
      </c>
      <c r="T27" t="s">
        <v>45</v>
      </c>
      <c r="U27" t="s">
        <v>46</v>
      </c>
      <c r="V27">
        <v>1</v>
      </c>
      <c r="W27" s="2">
        <v>45380</v>
      </c>
      <c r="X27" t="s">
        <v>36</v>
      </c>
    </row>
    <row r="28" spans="1:24" x14ac:dyDescent="0.3">
      <c r="A28">
        <v>1063</v>
      </c>
      <c r="B28" t="s">
        <v>48</v>
      </c>
      <c r="C28" t="s">
        <v>155</v>
      </c>
      <c r="D28" t="s">
        <v>156</v>
      </c>
      <c r="E28" t="s">
        <v>157</v>
      </c>
      <c r="F28" s="5">
        <v>1700</v>
      </c>
      <c r="G28" s="5">
        <v>22</v>
      </c>
      <c r="H28" t="s">
        <v>28</v>
      </c>
      <c r="I28" t="s">
        <v>40</v>
      </c>
      <c r="J28" t="s">
        <v>76</v>
      </c>
      <c r="K28">
        <v>21</v>
      </c>
      <c r="L28">
        <v>2063</v>
      </c>
      <c r="M28">
        <v>3063</v>
      </c>
      <c r="N28" t="s">
        <v>158</v>
      </c>
      <c r="O28" t="s">
        <v>72</v>
      </c>
      <c r="P28" s="2">
        <v>45354</v>
      </c>
      <c r="Q28" t="s">
        <v>56</v>
      </c>
      <c r="R28">
        <v>3</v>
      </c>
      <c r="S28" s="5">
        <v>5100</v>
      </c>
      <c r="T28" t="s">
        <v>34</v>
      </c>
      <c r="U28" t="s">
        <v>46</v>
      </c>
      <c r="V28">
        <v>2</v>
      </c>
      <c r="W28" s="2">
        <v>45382</v>
      </c>
      <c r="X28" t="s">
        <v>47</v>
      </c>
    </row>
    <row r="29" spans="1:24" x14ac:dyDescent="0.3">
      <c r="A29">
        <v>1064</v>
      </c>
      <c r="B29" t="s">
        <v>48</v>
      </c>
      <c r="C29" t="s">
        <v>155</v>
      </c>
      <c r="D29" t="s">
        <v>159</v>
      </c>
      <c r="E29" t="s">
        <v>160</v>
      </c>
      <c r="F29" s="3">
        <v>2100</v>
      </c>
      <c r="G29" s="5">
        <v>20</v>
      </c>
      <c r="H29" t="s">
        <v>39</v>
      </c>
      <c r="I29" t="s">
        <v>52</v>
      </c>
      <c r="J29" t="s">
        <v>30</v>
      </c>
      <c r="K29">
        <v>19</v>
      </c>
      <c r="L29">
        <v>2064</v>
      </c>
      <c r="M29">
        <v>3064</v>
      </c>
      <c r="N29" t="s">
        <v>115</v>
      </c>
      <c r="O29" t="s">
        <v>78</v>
      </c>
      <c r="P29" s="2">
        <v>45355</v>
      </c>
      <c r="Q29" t="s">
        <v>33</v>
      </c>
      <c r="R29">
        <v>1</v>
      </c>
      <c r="S29" s="5">
        <v>2100</v>
      </c>
      <c r="T29" t="s">
        <v>34</v>
      </c>
      <c r="U29" t="s">
        <v>35</v>
      </c>
      <c r="V29">
        <v>4</v>
      </c>
      <c r="W29" s="2">
        <v>45385</v>
      </c>
      <c r="X29" t="s">
        <v>36</v>
      </c>
    </row>
    <row r="30" spans="1:24" x14ac:dyDescent="0.3">
      <c r="A30">
        <v>1065</v>
      </c>
      <c r="B30" t="s">
        <v>62</v>
      </c>
      <c r="C30" t="s">
        <v>161</v>
      </c>
      <c r="D30" t="s">
        <v>162</v>
      </c>
      <c r="E30" t="s">
        <v>163</v>
      </c>
      <c r="F30" s="3">
        <v>1500</v>
      </c>
      <c r="G30" s="5">
        <v>30</v>
      </c>
      <c r="H30" t="s">
        <v>28</v>
      </c>
      <c r="I30" t="s">
        <v>29</v>
      </c>
      <c r="J30" t="s">
        <v>59</v>
      </c>
      <c r="K30">
        <v>17</v>
      </c>
      <c r="L30">
        <v>2065</v>
      </c>
      <c r="M30">
        <v>3065</v>
      </c>
      <c r="N30" t="s">
        <v>164</v>
      </c>
      <c r="O30" t="s">
        <v>32</v>
      </c>
      <c r="P30" s="2">
        <v>45356</v>
      </c>
      <c r="Q30" t="s">
        <v>44</v>
      </c>
      <c r="R30">
        <v>2</v>
      </c>
      <c r="S30" s="5">
        <v>3000</v>
      </c>
      <c r="T30" t="s">
        <v>45</v>
      </c>
      <c r="U30" t="s">
        <v>46</v>
      </c>
      <c r="V30">
        <v>2</v>
      </c>
      <c r="W30" s="2">
        <v>45384</v>
      </c>
      <c r="X30" t="s">
        <v>61</v>
      </c>
    </row>
    <row r="31" spans="1:24" x14ac:dyDescent="0.3">
      <c r="A31">
        <v>1066</v>
      </c>
      <c r="B31" t="s">
        <v>62</v>
      </c>
      <c r="C31" t="s">
        <v>161</v>
      </c>
      <c r="D31" t="s">
        <v>165</v>
      </c>
      <c r="E31" t="s">
        <v>166</v>
      </c>
      <c r="F31" s="3">
        <v>1800</v>
      </c>
      <c r="G31" s="5">
        <v>28</v>
      </c>
      <c r="H31" t="s">
        <v>39</v>
      </c>
      <c r="I31" t="s">
        <v>40</v>
      </c>
      <c r="J31" t="s">
        <v>80</v>
      </c>
      <c r="K31">
        <v>20</v>
      </c>
      <c r="L31">
        <v>2066</v>
      </c>
      <c r="M31">
        <v>3066</v>
      </c>
      <c r="N31" t="s">
        <v>167</v>
      </c>
      <c r="O31" t="s">
        <v>111</v>
      </c>
      <c r="P31" s="2">
        <v>45357</v>
      </c>
      <c r="Q31" t="s">
        <v>33</v>
      </c>
      <c r="R31">
        <v>1</v>
      </c>
      <c r="S31" s="5">
        <v>1800</v>
      </c>
      <c r="T31" t="s">
        <v>34</v>
      </c>
      <c r="U31" t="s">
        <v>35</v>
      </c>
      <c r="V31">
        <v>4</v>
      </c>
      <c r="W31" s="2">
        <v>45387</v>
      </c>
      <c r="X31" t="s">
        <v>36</v>
      </c>
    </row>
    <row r="32" spans="1:24" x14ac:dyDescent="0.3">
      <c r="A32">
        <v>1067</v>
      </c>
      <c r="B32" t="s">
        <v>145</v>
      </c>
      <c r="C32" t="s">
        <v>168</v>
      </c>
      <c r="D32" t="s">
        <v>169</v>
      </c>
      <c r="E32" t="s">
        <v>138</v>
      </c>
      <c r="F32" s="3">
        <v>3200</v>
      </c>
      <c r="G32" s="5">
        <v>42</v>
      </c>
      <c r="H32" t="s">
        <v>28</v>
      </c>
      <c r="I32" t="s">
        <v>40</v>
      </c>
      <c r="J32" t="s">
        <v>41</v>
      </c>
      <c r="K32">
        <v>18</v>
      </c>
      <c r="L32">
        <v>2067</v>
      </c>
      <c r="M32">
        <v>3067</v>
      </c>
      <c r="N32" t="s">
        <v>170</v>
      </c>
      <c r="O32" t="s">
        <v>171</v>
      </c>
      <c r="P32" s="2">
        <v>45358</v>
      </c>
      <c r="Q32" t="s">
        <v>33</v>
      </c>
      <c r="R32">
        <v>2</v>
      </c>
      <c r="S32" s="5">
        <v>6400</v>
      </c>
      <c r="T32" t="s">
        <v>45</v>
      </c>
      <c r="U32" t="s">
        <v>46</v>
      </c>
      <c r="V32">
        <v>2</v>
      </c>
      <c r="W32" s="2">
        <v>45386</v>
      </c>
      <c r="X32" t="s">
        <v>47</v>
      </c>
    </row>
    <row r="33" spans="1:24" x14ac:dyDescent="0.3">
      <c r="A33">
        <v>1068</v>
      </c>
      <c r="B33" t="s">
        <v>145</v>
      </c>
      <c r="C33" t="s">
        <v>168</v>
      </c>
      <c r="D33" t="s">
        <v>172</v>
      </c>
      <c r="E33" t="s">
        <v>142</v>
      </c>
      <c r="F33" s="3">
        <v>3700</v>
      </c>
      <c r="G33" s="5">
        <v>40</v>
      </c>
      <c r="H33" t="s">
        <v>39</v>
      </c>
      <c r="I33" t="s">
        <v>52</v>
      </c>
      <c r="J33" t="s">
        <v>53</v>
      </c>
      <c r="K33">
        <v>20</v>
      </c>
      <c r="L33">
        <v>2068</v>
      </c>
      <c r="M33">
        <v>3068</v>
      </c>
      <c r="N33" t="s">
        <v>149</v>
      </c>
      <c r="O33" t="s">
        <v>55</v>
      </c>
      <c r="P33" s="2">
        <v>45359</v>
      </c>
      <c r="Q33" t="s">
        <v>44</v>
      </c>
      <c r="R33">
        <v>1</v>
      </c>
      <c r="S33" s="5">
        <v>3700</v>
      </c>
      <c r="T33" t="s">
        <v>34</v>
      </c>
      <c r="U33" t="s">
        <v>46</v>
      </c>
      <c r="V33">
        <v>1</v>
      </c>
      <c r="W33" s="2">
        <v>45386</v>
      </c>
      <c r="X33" t="s">
        <v>36</v>
      </c>
    </row>
    <row r="34" spans="1:24" x14ac:dyDescent="0.3">
      <c r="A34">
        <v>1081</v>
      </c>
      <c r="B34" t="s">
        <v>173</v>
      </c>
      <c r="C34" t="s">
        <v>174</v>
      </c>
      <c r="D34" t="s">
        <v>175</v>
      </c>
      <c r="E34" t="s">
        <v>176</v>
      </c>
      <c r="F34" s="3">
        <v>1200</v>
      </c>
      <c r="G34" s="5">
        <v>27</v>
      </c>
      <c r="H34" t="s">
        <v>28</v>
      </c>
      <c r="I34" t="s">
        <v>29</v>
      </c>
      <c r="J34" t="s">
        <v>66</v>
      </c>
      <c r="K34">
        <v>19</v>
      </c>
      <c r="L34">
        <v>2081</v>
      </c>
      <c r="M34">
        <v>3081</v>
      </c>
      <c r="N34" t="s">
        <v>177</v>
      </c>
      <c r="O34" t="s">
        <v>32</v>
      </c>
      <c r="P34" s="2">
        <v>45341</v>
      </c>
      <c r="Q34" t="s">
        <v>33</v>
      </c>
      <c r="R34">
        <v>2</v>
      </c>
      <c r="S34" s="5">
        <v>2400</v>
      </c>
      <c r="T34" t="s">
        <v>34</v>
      </c>
      <c r="U34" t="s">
        <v>35</v>
      </c>
      <c r="V34">
        <v>5</v>
      </c>
      <c r="W34" s="2">
        <v>45391</v>
      </c>
      <c r="X34" t="s">
        <v>47</v>
      </c>
    </row>
    <row r="35" spans="1:24" x14ac:dyDescent="0.3">
      <c r="A35">
        <v>1082</v>
      </c>
      <c r="B35" t="s">
        <v>173</v>
      </c>
      <c r="C35" t="s">
        <v>174</v>
      </c>
      <c r="D35" t="s">
        <v>178</v>
      </c>
      <c r="E35" t="s">
        <v>179</v>
      </c>
      <c r="F35" s="3">
        <v>1500</v>
      </c>
      <c r="G35" s="5">
        <v>25</v>
      </c>
      <c r="H35" t="s">
        <v>39</v>
      </c>
      <c r="I35" t="s">
        <v>40</v>
      </c>
      <c r="J35" t="s">
        <v>153</v>
      </c>
      <c r="K35">
        <v>19</v>
      </c>
      <c r="L35">
        <v>2082</v>
      </c>
      <c r="M35">
        <v>3082</v>
      </c>
      <c r="N35" t="s">
        <v>180</v>
      </c>
      <c r="O35" t="s">
        <v>86</v>
      </c>
      <c r="P35" s="2">
        <v>45342</v>
      </c>
      <c r="Q35" t="s">
        <v>44</v>
      </c>
      <c r="R35">
        <v>1</v>
      </c>
      <c r="S35" s="5">
        <v>1500</v>
      </c>
      <c r="T35" t="s">
        <v>45</v>
      </c>
      <c r="U35" t="s">
        <v>46</v>
      </c>
      <c r="V35">
        <v>1</v>
      </c>
      <c r="W35" s="2">
        <v>45388</v>
      </c>
      <c r="X35" t="s">
        <v>36</v>
      </c>
    </row>
    <row r="36" spans="1:24" x14ac:dyDescent="0.3">
      <c r="A36">
        <v>1083</v>
      </c>
      <c r="B36" t="s">
        <v>48</v>
      </c>
      <c r="C36" t="s">
        <v>181</v>
      </c>
      <c r="D36" t="s">
        <v>182</v>
      </c>
      <c r="E36" t="s">
        <v>183</v>
      </c>
      <c r="F36" s="3">
        <v>2800</v>
      </c>
      <c r="G36" s="5">
        <v>18</v>
      </c>
      <c r="H36" t="s">
        <v>28</v>
      </c>
      <c r="I36" t="s">
        <v>40</v>
      </c>
      <c r="J36" t="s">
        <v>76</v>
      </c>
      <c r="K36">
        <v>18</v>
      </c>
      <c r="L36">
        <v>2083</v>
      </c>
      <c r="M36">
        <v>3083</v>
      </c>
      <c r="N36" t="s">
        <v>184</v>
      </c>
      <c r="O36" t="s">
        <v>185</v>
      </c>
      <c r="P36" s="2">
        <v>45343</v>
      </c>
      <c r="Q36" t="s">
        <v>56</v>
      </c>
      <c r="R36">
        <v>3</v>
      </c>
      <c r="S36" s="5">
        <v>8400</v>
      </c>
      <c r="T36" t="s">
        <v>34</v>
      </c>
      <c r="U36" t="s">
        <v>46</v>
      </c>
      <c r="V36">
        <v>2</v>
      </c>
      <c r="W36" s="2">
        <v>45390</v>
      </c>
      <c r="X36" t="s">
        <v>47</v>
      </c>
    </row>
    <row r="37" spans="1:24" x14ac:dyDescent="0.3">
      <c r="A37">
        <v>1084</v>
      </c>
      <c r="B37" t="s">
        <v>48</v>
      </c>
      <c r="C37" t="s">
        <v>181</v>
      </c>
      <c r="D37" t="s">
        <v>186</v>
      </c>
      <c r="E37" t="s">
        <v>187</v>
      </c>
      <c r="F37" s="3">
        <v>3200</v>
      </c>
      <c r="G37" s="5">
        <v>16</v>
      </c>
      <c r="H37" t="s">
        <v>39</v>
      </c>
      <c r="I37" t="s">
        <v>52</v>
      </c>
      <c r="J37" t="s">
        <v>30</v>
      </c>
      <c r="K37">
        <v>21</v>
      </c>
      <c r="L37">
        <v>2084</v>
      </c>
      <c r="M37">
        <v>3084</v>
      </c>
      <c r="N37" t="s">
        <v>188</v>
      </c>
      <c r="O37" t="s">
        <v>116</v>
      </c>
      <c r="P37" s="2">
        <v>45344</v>
      </c>
      <c r="Q37" t="s">
        <v>33</v>
      </c>
      <c r="R37">
        <v>1</v>
      </c>
      <c r="S37" s="5">
        <v>3200</v>
      </c>
      <c r="T37" t="s">
        <v>34</v>
      </c>
      <c r="U37" t="s">
        <v>35</v>
      </c>
      <c r="V37">
        <v>4</v>
      </c>
      <c r="W37" s="2">
        <v>45393</v>
      </c>
      <c r="X37" t="s">
        <v>36</v>
      </c>
    </row>
    <row r="38" spans="1:24" x14ac:dyDescent="0.3">
      <c r="A38">
        <v>1085</v>
      </c>
      <c r="B38" t="s">
        <v>62</v>
      </c>
      <c r="C38" t="s">
        <v>189</v>
      </c>
      <c r="D38" t="s">
        <v>190</v>
      </c>
      <c r="E38" t="s">
        <v>191</v>
      </c>
      <c r="F38" s="3">
        <v>2000</v>
      </c>
      <c r="G38" s="5">
        <v>33</v>
      </c>
      <c r="H38" t="s">
        <v>28</v>
      </c>
      <c r="I38" t="s">
        <v>29</v>
      </c>
      <c r="J38" t="s">
        <v>59</v>
      </c>
      <c r="K38">
        <v>20</v>
      </c>
      <c r="L38">
        <v>2085</v>
      </c>
      <c r="M38">
        <v>3085</v>
      </c>
      <c r="N38" t="s">
        <v>192</v>
      </c>
      <c r="O38" t="s">
        <v>32</v>
      </c>
      <c r="P38" s="2">
        <v>45345</v>
      </c>
      <c r="Q38" t="s">
        <v>44</v>
      </c>
      <c r="R38">
        <v>2</v>
      </c>
      <c r="S38" s="5">
        <v>4000</v>
      </c>
      <c r="T38" t="s">
        <v>45</v>
      </c>
      <c r="U38" t="s">
        <v>46</v>
      </c>
      <c r="V38">
        <v>2</v>
      </c>
      <c r="W38" s="2">
        <v>45392</v>
      </c>
      <c r="X38" t="s">
        <v>61</v>
      </c>
    </row>
    <row r="39" spans="1:24" x14ac:dyDescent="0.3">
      <c r="A39">
        <v>1086</v>
      </c>
      <c r="B39" t="s">
        <v>62</v>
      </c>
      <c r="C39" t="s">
        <v>189</v>
      </c>
      <c r="D39" t="s">
        <v>193</v>
      </c>
      <c r="E39" t="s">
        <v>194</v>
      </c>
      <c r="F39" s="3">
        <v>2400</v>
      </c>
      <c r="G39" s="5">
        <v>30</v>
      </c>
      <c r="H39" t="s">
        <v>39</v>
      </c>
      <c r="I39" t="s">
        <v>40</v>
      </c>
      <c r="J39" t="s">
        <v>80</v>
      </c>
      <c r="K39">
        <v>18</v>
      </c>
      <c r="L39">
        <v>2086</v>
      </c>
      <c r="M39">
        <v>3086</v>
      </c>
      <c r="N39" t="s">
        <v>195</v>
      </c>
      <c r="O39" t="s">
        <v>196</v>
      </c>
      <c r="P39" s="2">
        <v>45346</v>
      </c>
      <c r="Q39" t="s">
        <v>33</v>
      </c>
      <c r="R39">
        <v>1</v>
      </c>
      <c r="S39" s="5">
        <v>2400</v>
      </c>
      <c r="T39" t="s">
        <v>34</v>
      </c>
      <c r="U39" t="s">
        <v>35</v>
      </c>
      <c r="V39">
        <v>4</v>
      </c>
      <c r="W39" s="2">
        <v>45395</v>
      </c>
      <c r="X39" t="s">
        <v>36</v>
      </c>
    </row>
    <row r="40" spans="1:24" x14ac:dyDescent="0.3">
      <c r="A40">
        <v>1087</v>
      </c>
      <c r="B40" t="s">
        <v>24</v>
      </c>
      <c r="C40" t="s">
        <v>73</v>
      </c>
      <c r="D40" t="s">
        <v>197</v>
      </c>
      <c r="E40" t="s">
        <v>198</v>
      </c>
      <c r="F40" s="3">
        <v>2900</v>
      </c>
      <c r="G40" s="5">
        <v>34</v>
      </c>
      <c r="H40" t="s">
        <v>28</v>
      </c>
      <c r="I40" t="s">
        <v>40</v>
      </c>
      <c r="J40" t="s">
        <v>41</v>
      </c>
      <c r="K40">
        <v>20</v>
      </c>
      <c r="L40">
        <v>2087</v>
      </c>
      <c r="M40">
        <v>3087</v>
      </c>
      <c r="N40" t="s">
        <v>199</v>
      </c>
      <c r="O40" t="s">
        <v>200</v>
      </c>
      <c r="P40" s="2">
        <v>45347</v>
      </c>
      <c r="Q40" t="s">
        <v>33</v>
      </c>
      <c r="R40">
        <v>2</v>
      </c>
      <c r="S40" s="5">
        <v>5800</v>
      </c>
      <c r="T40" t="s">
        <v>45</v>
      </c>
      <c r="U40" t="s">
        <v>46</v>
      </c>
      <c r="V40">
        <v>2</v>
      </c>
      <c r="W40" s="2">
        <v>45394</v>
      </c>
      <c r="X40" t="s">
        <v>47</v>
      </c>
    </row>
    <row r="41" spans="1:24" x14ac:dyDescent="0.3">
      <c r="A41">
        <v>1088</v>
      </c>
      <c r="B41" t="s">
        <v>24</v>
      </c>
      <c r="C41" t="s">
        <v>73</v>
      </c>
      <c r="D41" t="s">
        <v>201</v>
      </c>
      <c r="E41" t="s">
        <v>202</v>
      </c>
      <c r="F41" s="3">
        <v>3300</v>
      </c>
      <c r="G41" s="5">
        <v>32</v>
      </c>
      <c r="H41" t="s">
        <v>39</v>
      </c>
      <c r="I41" t="s">
        <v>52</v>
      </c>
      <c r="J41" t="s">
        <v>53</v>
      </c>
      <c r="K41">
        <v>22</v>
      </c>
      <c r="L41">
        <v>2088</v>
      </c>
      <c r="M41">
        <v>3088</v>
      </c>
      <c r="N41" t="s">
        <v>143</v>
      </c>
      <c r="O41" t="s">
        <v>78</v>
      </c>
      <c r="P41" s="2">
        <v>45348</v>
      </c>
      <c r="Q41" t="s">
        <v>44</v>
      </c>
      <c r="R41">
        <v>1</v>
      </c>
      <c r="S41" s="5">
        <v>3300</v>
      </c>
      <c r="T41" t="s">
        <v>45</v>
      </c>
      <c r="U41" t="s">
        <v>46</v>
      </c>
      <c r="V41">
        <v>1</v>
      </c>
      <c r="W41" s="2">
        <v>45394</v>
      </c>
      <c r="X41" t="s">
        <v>36</v>
      </c>
    </row>
    <row r="42" spans="1:24" x14ac:dyDescent="0.3">
      <c r="A42">
        <v>1101</v>
      </c>
      <c r="B42" t="s">
        <v>203</v>
      </c>
      <c r="C42" t="s">
        <v>204</v>
      </c>
      <c r="D42" t="s">
        <v>205</v>
      </c>
      <c r="E42" t="s">
        <v>206</v>
      </c>
      <c r="F42" s="3">
        <v>150</v>
      </c>
      <c r="G42" s="5">
        <v>10</v>
      </c>
      <c r="H42" t="s">
        <v>28</v>
      </c>
      <c r="I42" t="s">
        <v>29</v>
      </c>
      <c r="J42" t="s">
        <v>66</v>
      </c>
      <c r="K42">
        <v>20</v>
      </c>
      <c r="L42">
        <v>2101</v>
      </c>
      <c r="M42">
        <v>3101</v>
      </c>
      <c r="N42" t="s">
        <v>207</v>
      </c>
      <c r="O42" t="s">
        <v>150</v>
      </c>
      <c r="P42" s="2">
        <v>45323</v>
      </c>
      <c r="Q42" t="s">
        <v>33</v>
      </c>
      <c r="R42">
        <v>2</v>
      </c>
      <c r="S42" s="5">
        <v>300</v>
      </c>
      <c r="T42" t="s">
        <v>34</v>
      </c>
      <c r="U42" t="s">
        <v>35</v>
      </c>
      <c r="V42">
        <v>5</v>
      </c>
      <c r="W42" s="2">
        <v>45399</v>
      </c>
      <c r="X42" t="s">
        <v>47</v>
      </c>
    </row>
    <row r="43" spans="1:24" x14ac:dyDescent="0.3">
      <c r="A43">
        <v>1102</v>
      </c>
      <c r="B43" t="s">
        <v>203</v>
      </c>
      <c r="C43" t="s">
        <v>204</v>
      </c>
      <c r="D43" t="s">
        <v>208</v>
      </c>
      <c r="E43" t="s">
        <v>209</v>
      </c>
      <c r="F43" s="3">
        <v>200</v>
      </c>
      <c r="G43" s="5">
        <v>9</v>
      </c>
      <c r="H43" t="s">
        <v>39</v>
      </c>
      <c r="I43" t="s">
        <v>40</v>
      </c>
      <c r="J43" t="s">
        <v>153</v>
      </c>
      <c r="K43">
        <v>18</v>
      </c>
      <c r="L43">
        <v>2102</v>
      </c>
      <c r="M43">
        <v>3102</v>
      </c>
      <c r="N43" t="s">
        <v>210</v>
      </c>
      <c r="O43" t="s">
        <v>72</v>
      </c>
      <c r="P43" s="2">
        <v>45324</v>
      </c>
      <c r="Q43" t="s">
        <v>44</v>
      </c>
      <c r="R43">
        <v>1</v>
      </c>
      <c r="S43" s="5">
        <v>200</v>
      </c>
      <c r="T43" t="s">
        <v>45</v>
      </c>
      <c r="U43" t="s">
        <v>46</v>
      </c>
      <c r="V43">
        <v>1</v>
      </c>
      <c r="W43" s="2">
        <v>45396</v>
      </c>
      <c r="X43" t="s">
        <v>36</v>
      </c>
    </row>
    <row r="44" spans="1:24" x14ac:dyDescent="0.3">
      <c r="A44">
        <v>1103</v>
      </c>
      <c r="B44" t="s">
        <v>211</v>
      </c>
      <c r="C44" t="s">
        <v>212</v>
      </c>
      <c r="D44" t="s">
        <v>213</v>
      </c>
      <c r="E44" t="s">
        <v>214</v>
      </c>
      <c r="F44" s="3">
        <v>400</v>
      </c>
      <c r="G44" s="5">
        <v>25</v>
      </c>
      <c r="H44" t="s">
        <v>28</v>
      </c>
      <c r="I44" t="s">
        <v>40</v>
      </c>
      <c r="J44" t="s">
        <v>76</v>
      </c>
      <c r="K44">
        <v>20</v>
      </c>
      <c r="L44">
        <v>2103</v>
      </c>
      <c r="M44">
        <v>3103</v>
      </c>
      <c r="N44" t="s">
        <v>215</v>
      </c>
      <c r="O44" t="s">
        <v>68</v>
      </c>
      <c r="P44" s="2">
        <v>45325</v>
      </c>
      <c r="Q44" t="s">
        <v>56</v>
      </c>
      <c r="R44">
        <v>3</v>
      </c>
      <c r="S44" s="5">
        <v>1200</v>
      </c>
      <c r="T44" t="s">
        <v>34</v>
      </c>
      <c r="U44" t="s">
        <v>46</v>
      </c>
      <c r="V44">
        <v>2</v>
      </c>
      <c r="W44" s="2">
        <v>45398</v>
      </c>
      <c r="X44" t="s">
        <v>47</v>
      </c>
    </row>
    <row r="45" spans="1:24" x14ac:dyDescent="0.3">
      <c r="A45">
        <v>1104</v>
      </c>
      <c r="B45" t="s">
        <v>211</v>
      </c>
      <c r="C45" t="s">
        <v>212</v>
      </c>
      <c r="D45" t="s">
        <v>216</v>
      </c>
      <c r="E45" t="s">
        <v>217</v>
      </c>
      <c r="F45" s="3">
        <v>600</v>
      </c>
      <c r="G45" s="5">
        <v>23</v>
      </c>
      <c r="H45" t="s">
        <v>39</v>
      </c>
      <c r="I45" t="s">
        <v>52</v>
      </c>
      <c r="J45" t="s">
        <v>30</v>
      </c>
      <c r="K45">
        <v>23</v>
      </c>
      <c r="L45">
        <v>2104</v>
      </c>
      <c r="M45">
        <v>3104</v>
      </c>
      <c r="N45" t="s">
        <v>218</v>
      </c>
      <c r="O45" t="s">
        <v>219</v>
      </c>
      <c r="P45" s="2">
        <v>45326</v>
      </c>
      <c r="Q45" t="s">
        <v>33</v>
      </c>
      <c r="R45">
        <v>1</v>
      </c>
      <c r="S45" s="5">
        <v>600</v>
      </c>
      <c r="T45" t="s">
        <v>34</v>
      </c>
      <c r="U45" t="s">
        <v>35</v>
      </c>
      <c r="V45">
        <v>4</v>
      </c>
      <c r="W45" s="2">
        <v>45401</v>
      </c>
      <c r="X45" t="s">
        <v>36</v>
      </c>
    </row>
    <row r="46" spans="1:24" x14ac:dyDescent="0.3">
      <c r="A46">
        <v>1105</v>
      </c>
      <c r="B46" t="s">
        <v>24</v>
      </c>
      <c r="C46" t="s">
        <v>25</v>
      </c>
      <c r="D46" t="s">
        <v>220</v>
      </c>
      <c r="E46" t="s">
        <v>221</v>
      </c>
      <c r="F46" s="3">
        <v>1800</v>
      </c>
      <c r="G46" s="5">
        <v>29</v>
      </c>
      <c r="H46" t="s">
        <v>28</v>
      </c>
      <c r="I46" t="s">
        <v>29</v>
      </c>
      <c r="J46" t="s">
        <v>59</v>
      </c>
      <c r="K46">
        <v>21</v>
      </c>
      <c r="L46">
        <v>2105</v>
      </c>
      <c r="M46">
        <v>3105</v>
      </c>
      <c r="N46" t="s">
        <v>222</v>
      </c>
      <c r="O46" t="s">
        <v>150</v>
      </c>
      <c r="P46" s="2">
        <v>45327</v>
      </c>
      <c r="Q46" t="s">
        <v>44</v>
      </c>
      <c r="R46">
        <v>2</v>
      </c>
      <c r="S46" s="5">
        <v>3600</v>
      </c>
      <c r="T46" t="s">
        <v>45</v>
      </c>
      <c r="U46" t="s">
        <v>46</v>
      </c>
      <c r="V46">
        <v>2</v>
      </c>
      <c r="W46" s="2">
        <v>45400</v>
      </c>
      <c r="X46" t="s">
        <v>61</v>
      </c>
    </row>
    <row r="47" spans="1:24" x14ac:dyDescent="0.3">
      <c r="A47">
        <v>1106</v>
      </c>
      <c r="B47" t="s">
        <v>24</v>
      </c>
      <c r="C47" t="s">
        <v>25</v>
      </c>
      <c r="D47" t="s">
        <v>223</v>
      </c>
      <c r="E47" t="s">
        <v>224</v>
      </c>
      <c r="F47" s="3">
        <v>2400</v>
      </c>
      <c r="G47" s="5">
        <v>27</v>
      </c>
      <c r="H47" t="s">
        <v>39</v>
      </c>
      <c r="I47" t="s">
        <v>52</v>
      </c>
      <c r="J47" t="s">
        <v>41</v>
      </c>
      <c r="K47">
        <v>26</v>
      </c>
      <c r="L47">
        <v>2106</v>
      </c>
      <c r="M47">
        <v>3106</v>
      </c>
      <c r="N47" t="s">
        <v>149</v>
      </c>
      <c r="O47" t="s">
        <v>55</v>
      </c>
      <c r="P47" s="2">
        <v>45328</v>
      </c>
      <c r="Q47" t="s">
        <v>33</v>
      </c>
      <c r="R47">
        <v>1</v>
      </c>
      <c r="S47" s="5">
        <v>2400</v>
      </c>
      <c r="T47" t="s">
        <v>34</v>
      </c>
      <c r="U47" t="s">
        <v>46</v>
      </c>
      <c r="V47">
        <v>3</v>
      </c>
      <c r="W47" s="2">
        <v>45331</v>
      </c>
      <c r="X47" t="s">
        <v>36</v>
      </c>
    </row>
    <row r="48" spans="1:24" x14ac:dyDescent="0.3">
      <c r="A48">
        <v>1107</v>
      </c>
      <c r="B48" t="s">
        <v>48</v>
      </c>
      <c r="C48" t="s">
        <v>225</v>
      </c>
      <c r="D48" t="s">
        <v>226</v>
      </c>
      <c r="E48" t="s">
        <v>227</v>
      </c>
      <c r="F48" s="3">
        <v>2100</v>
      </c>
      <c r="G48" s="5">
        <v>20</v>
      </c>
      <c r="H48" t="s">
        <v>28</v>
      </c>
      <c r="I48" t="s">
        <v>29</v>
      </c>
      <c r="J48" t="s">
        <v>76</v>
      </c>
      <c r="K48">
        <v>30</v>
      </c>
      <c r="L48">
        <v>2107</v>
      </c>
      <c r="M48">
        <v>3107</v>
      </c>
      <c r="N48" t="s">
        <v>85</v>
      </c>
      <c r="O48" t="s">
        <v>86</v>
      </c>
      <c r="P48" s="2">
        <v>45329</v>
      </c>
      <c r="Q48" t="s">
        <v>33</v>
      </c>
      <c r="R48">
        <v>2</v>
      </c>
      <c r="S48" s="5">
        <v>4200</v>
      </c>
      <c r="T48" t="s">
        <v>45</v>
      </c>
      <c r="U48" t="s">
        <v>35</v>
      </c>
      <c r="V48">
        <v>2</v>
      </c>
      <c r="W48" s="2">
        <v>45331</v>
      </c>
      <c r="X48" t="s">
        <v>61</v>
      </c>
    </row>
    <row r="49" spans="1:24" x14ac:dyDescent="0.3">
      <c r="A49">
        <v>1108</v>
      </c>
      <c r="B49" t="s">
        <v>48</v>
      </c>
      <c r="C49" t="s">
        <v>225</v>
      </c>
      <c r="D49" t="s">
        <v>228</v>
      </c>
      <c r="E49" t="s">
        <v>229</v>
      </c>
      <c r="F49" s="3">
        <v>2600</v>
      </c>
      <c r="G49" s="5">
        <v>18</v>
      </c>
      <c r="H49" t="s">
        <v>39</v>
      </c>
      <c r="I49" t="s">
        <v>40</v>
      </c>
      <c r="J49" t="s">
        <v>41</v>
      </c>
      <c r="K49">
        <v>26</v>
      </c>
      <c r="L49">
        <v>2108</v>
      </c>
      <c r="M49">
        <v>3108</v>
      </c>
      <c r="N49" t="s">
        <v>149</v>
      </c>
      <c r="O49" t="s">
        <v>55</v>
      </c>
      <c r="P49" s="2">
        <v>45330</v>
      </c>
      <c r="Q49" t="s">
        <v>44</v>
      </c>
      <c r="R49">
        <v>1</v>
      </c>
      <c r="S49" s="5">
        <v>2600</v>
      </c>
      <c r="T49" t="s">
        <v>34</v>
      </c>
      <c r="U49" t="s">
        <v>46</v>
      </c>
      <c r="V49">
        <v>1</v>
      </c>
      <c r="W49" s="2">
        <v>45331</v>
      </c>
      <c r="X49" t="s">
        <v>36</v>
      </c>
    </row>
    <row r="50" spans="1:24" x14ac:dyDescent="0.3">
      <c r="F50" s="3">
        <f>SUM(F2:F49)</f>
        <v>94450</v>
      </c>
      <c r="S50">
        <f>SUM(S2:S49)</f>
        <v>147800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2" sqref="B12"/>
    </sheetView>
  </sheetViews>
  <sheetFormatPr defaultRowHeight="14.4" x14ac:dyDescent="0.3"/>
  <cols>
    <col min="1" max="1" width="41.88671875" style="6" customWidth="1"/>
  </cols>
  <sheetData>
    <row r="1" spans="1:2" ht="15.6" x14ac:dyDescent="0.3">
      <c r="A1" s="7" t="s">
        <v>230</v>
      </c>
    </row>
    <row r="2" spans="1:2" x14ac:dyDescent="0.3">
      <c r="A2" s="8" t="s">
        <v>231</v>
      </c>
      <c r="B2" t="s">
        <v>252</v>
      </c>
    </row>
    <row r="3" spans="1:2" ht="27.6" x14ac:dyDescent="0.3">
      <c r="A3" s="8" t="s">
        <v>232</v>
      </c>
      <c r="B3" t="s">
        <v>252</v>
      </c>
    </row>
    <row r="4" spans="1:2" x14ac:dyDescent="0.3">
      <c r="A4" s="8" t="s">
        <v>233</v>
      </c>
      <c r="B4" t="s">
        <v>252</v>
      </c>
    </row>
    <row r="5" spans="1:2" x14ac:dyDescent="0.3">
      <c r="A5" s="8" t="s">
        <v>234</v>
      </c>
      <c r="B5" t="s">
        <v>252</v>
      </c>
    </row>
    <row r="6" spans="1:2" ht="27.6" x14ac:dyDescent="0.3">
      <c r="A6" s="8" t="s">
        <v>235</v>
      </c>
      <c r="B6" t="s">
        <v>252</v>
      </c>
    </row>
    <row r="7" spans="1:2" x14ac:dyDescent="0.3">
      <c r="A7" s="8" t="s">
        <v>236</v>
      </c>
      <c r="B7" t="s">
        <v>252</v>
      </c>
    </row>
    <row r="8" spans="1:2" ht="27.6" x14ac:dyDescent="0.3">
      <c r="A8" s="8" t="s">
        <v>237</v>
      </c>
      <c r="B8" t="s">
        <v>252</v>
      </c>
    </row>
    <row r="9" spans="1:2" x14ac:dyDescent="0.3">
      <c r="A9" s="8" t="s">
        <v>238</v>
      </c>
      <c r="B9" t="s">
        <v>252</v>
      </c>
    </row>
    <row r="10" spans="1:2" x14ac:dyDescent="0.3">
      <c r="A10" s="8" t="s">
        <v>239</v>
      </c>
      <c r="B10" t="s">
        <v>252</v>
      </c>
    </row>
    <row r="11" spans="1:2" x14ac:dyDescent="0.3">
      <c r="A11" s="8" t="s">
        <v>240</v>
      </c>
      <c r="B11" t="s">
        <v>252</v>
      </c>
    </row>
    <row r="12" spans="1:2" ht="27.6" x14ac:dyDescent="0.3">
      <c r="A12" s="8" t="s">
        <v>241</v>
      </c>
    </row>
    <row r="13" spans="1:2" x14ac:dyDescent="0.3">
      <c r="A13" s="8" t="s">
        <v>242</v>
      </c>
    </row>
    <row r="14" spans="1:2" x14ac:dyDescent="0.3">
      <c r="A14" s="8" t="s">
        <v>243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52"/>
  <sheetViews>
    <sheetView topLeftCell="A23" zoomScale="78" workbookViewId="0">
      <selection activeCell="T38" sqref="T38"/>
    </sheetView>
  </sheetViews>
  <sheetFormatPr defaultRowHeight="14.4" x14ac:dyDescent="0.3"/>
  <cols>
    <col min="1" max="1" width="13.21875" customWidth="1"/>
    <col min="2" max="2" width="17" customWidth="1"/>
    <col min="3" max="4" width="4" customWidth="1"/>
    <col min="5" max="5" width="13.21875" customWidth="1"/>
    <col min="6" max="6" width="20.33203125" customWidth="1"/>
    <col min="7" max="33" width="5" customWidth="1"/>
    <col min="34" max="34" width="10.77734375" customWidth="1"/>
    <col min="35" max="48" width="22.109375" bestFit="1" customWidth="1"/>
    <col min="49" max="49" width="10.77734375" bestFit="1" customWidth="1"/>
  </cols>
  <sheetData>
    <row r="2" spans="1:9" x14ac:dyDescent="0.3">
      <c r="F2" t="s">
        <v>247</v>
      </c>
    </row>
    <row r="3" spans="1:9" x14ac:dyDescent="0.3">
      <c r="A3" t="s">
        <v>244</v>
      </c>
      <c r="B3" t="s">
        <v>245</v>
      </c>
      <c r="C3" t="s">
        <v>251</v>
      </c>
      <c r="D3" t="s">
        <v>246</v>
      </c>
      <c r="F3" t="s">
        <v>248</v>
      </c>
      <c r="G3" t="s">
        <v>245</v>
      </c>
      <c r="H3" t="s">
        <v>250</v>
      </c>
      <c r="I3" t="s">
        <v>249</v>
      </c>
    </row>
    <row r="4" spans="1:9" x14ac:dyDescent="0.3">
      <c r="A4" s="5">
        <v>147800</v>
      </c>
      <c r="B4" s="5">
        <v>48</v>
      </c>
      <c r="C4" s="5">
        <v>48</v>
      </c>
      <c r="D4" s="5">
        <v>2.7916666666666665</v>
      </c>
      <c r="F4" t="str">
        <f>TEXT(A4,"$#,##,.0k")</f>
        <v>$147.8k</v>
      </c>
      <c r="G4" t="str">
        <f>TEXT(B4,"#,##")</f>
        <v>48</v>
      </c>
      <c r="H4" t="str">
        <f>TEXT(C4,"#,##")</f>
        <v>48</v>
      </c>
      <c r="I4" t="str">
        <f>TEXT(D4,"0.0")</f>
        <v>2.8</v>
      </c>
    </row>
    <row r="6" spans="1:9" x14ac:dyDescent="0.3">
      <c r="A6" s="9" t="s">
        <v>253</v>
      </c>
      <c r="B6" t="s">
        <v>244</v>
      </c>
      <c r="E6" s="9" t="s">
        <v>253</v>
      </c>
      <c r="F6" t="s">
        <v>251</v>
      </c>
    </row>
    <row r="7" spans="1:9" x14ac:dyDescent="0.3">
      <c r="A7" s="10" t="s">
        <v>211</v>
      </c>
      <c r="B7" s="5">
        <v>1800</v>
      </c>
      <c r="E7" s="10" t="s">
        <v>61</v>
      </c>
      <c r="F7" s="5">
        <v>8</v>
      </c>
    </row>
    <row r="8" spans="1:9" x14ac:dyDescent="0.3">
      <c r="A8" s="10" t="s">
        <v>145</v>
      </c>
      <c r="B8" s="5">
        <v>16600</v>
      </c>
      <c r="E8" s="10" t="s">
        <v>47</v>
      </c>
      <c r="F8" s="5">
        <v>15</v>
      </c>
    </row>
    <row r="9" spans="1:9" x14ac:dyDescent="0.3">
      <c r="A9" s="10" t="s">
        <v>173</v>
      </c>
      <c r="B9" s="5">
        <v>3900</v>
      </c>
      <c r="E9" s="10" t="s">
        <v>36</v>
      </c>
      <c r="F9" s="5">
        <v>25</v>
      </c>
    </row>
    <row r="10" spans="1:9" x14ac:dyDescent="0.3">
      <c r="A10" s="10" t="s">
        <v>203</v>
      </c>
      <c r="B10" s="5">
        <v>500</v>
      </c>
      <c r="E10" s="10" t="s">
        <v>254</v>
      </c>
      <c r="F10" s="5">
        <v>48</v>
      </c>
    </row>
    <row r="11" spans="1:9" x14ac:dyDescent="0.3">
      <c r="A11" s="10" t="s">
        <v>24</v>
      </c>
      <c r="B11" s="5">
        <v>50400</v>
      </c>
    </row>
    <row r="12" spans="1:9" x14ac:dyDescent="0.3">
      <c r="A12" s="10" t="s">
        <v>48</v>
      </c>
      <c r="B12" s="5">
        <v>48100</v>
      </c>
      <c r="E12" s="9" t="s">
        <v>253</v>
      </c>
      <c r="F12" t="s">
        <v>255</v>
      </c>
    </row>
    <row r="13" spans="1:9" x14ac:dyDescent="0.3">
      <c r="A13" s="10" t="s">
        <v>62</v>
      </c>
      <c r="B13" s="5">
        <v>26500</v>
      </c>
      <c r="E13" s="10" t="s">
        <v>56</v>
      </c>
      <c r="F13" s="5">
        <v>6</v>
      </c>
    </row>
    <row r="14" spans="1:9" x14ac:dyDescent="0.3">
      <c r="A14" s="10" t="s">
        <v>254</v>
      </c>
      <c r="B14" s="5">
        <v>147800</v>
      </c>
      <c r="E14" s="10" t="s">
        <v>44</v>
      </c>
      <c r="F14" s="5">
        <v>18</v>
      </c>
    </row>
    <row r="15" spans="1:9" x14ac:dyDescent="0.3">
      <c r="E15" s="10" t="s">
        <v>33</v>
      </c>
      <c r="F15" s="5">
        <v>24</v>
      </c>
    </row>
    <row r="16" spans="1:9" x14ac:dyDescent="0.3">
      <c r="A16" s="9" t="s">
        <v>253</v>
      </c>
      <c r="B16" t="s">
        <v>244</v>
      </c>
      <c r="E16" s="10" t="s">
        <v>254</v>
      </c>
      <c r="F16" s="5">
        <v>48</v>
      </c>
    </row>
    <row r="17" spans="1:6" x14ac:dyDescent="0.3">
      <c r="A17" s="10" t="s">
        <v>182</v>
      </c>
      <c r="B17" s="5">
        <v>8400</v>
      </c>
    </row>
    <row r="18" spans="1:6" x14ac:dyDescent="0.3">
      <c r="A18" s="10" t="s">
        <v>121</v>
      </c>
      <c r="B18" s="5">
        <v>5700</v>
      </c>
      <c r="E18" s="9" t="s">
        <v>253</v>
      </c>
      <c r="F18" t="s">
        <v>255</v>
      </c>
    </row>
    <row r="19" spans="1:6" x14ac:dyDescent="0.3">
      <c r="A19" s="10" t="s">
        <v>197</v>
      </c>
      <c r="B19" s="5">
        <v>5800</v>
      </c>
      <c r="E19" s="10" t="s">
        <v>46</v>
      </c>
      <c r="F19" s="5">
        <v>27</v>
      </c>
    </row>
    <row r="20" spans="1:6" x14ac:dyDescent="0.3">
      <c r="A20" s="10" t="s">
        <v>137</v>
      </c>
      <c r="B20" s="5">
        <v>6000</v>
      </c>
      <c r="E20" s="10" t="s">
        <v>35</v>
      </c>
      <c r="F20" s="5">
        <v>21</v>
      </c>
    </row>
    <row r="21" spans="1:6" x14ac:dyDescent="0.3">
      <c r="A21" s="10" t="s">
        <v>105</v>
      </c>
      <c r="B21" s="5">
        <v>4600</v>
      </c>
      <c r="E21" s="10" t="s">
        <v>254</v>
      </c>
      <c r="F21" s="5">
        <v>48</v>
      </c>
    </row>
    <row r="22" spans="1:6" x14ac:dyDescent="0.3">
      <c r="A22" s="10" t="s">
        <v>169</v>
      </c>
      <c r="B22" s="5">
        <v>6400</v>
      </c>
    </row>
    <row r="23" spans="1:6" x14ac:dyDescent="0.3">
      <c r="A23" s="10" t="s">
        <v>156</v>
      </c>
      <c r="B23" s="5">
        <v>5100</v>
      </c>
      <c r="E23" s="9" t="s">
        <v>253</v>
      </c>
      <c r="F23" t="s">
        <v>256</v>
      </c>
    </row>
    <row r="24" spans="1:6" x14ac:dyDescent="0.3">
      <c r="A24" s="10" t="s">
        <v>74</v>
      </c>
      <c r="B24" s="5">
        <v>4400</v>
      </c>
      <c r="E24" s="10" t="s">
        <v>211</v>
      </c>
      <c r="F24" s="5">
        <v>2</v>
      </c>
    </row>
    <row r="25" spans="1:6" x14ac:dyDescent="0.3">
      <c r="A25" s="10" t="s">
        <v>50</v>
      </c>
      <c r="B25" s="5">
        <v>5400</v>
      </c>
      <c r="E25" s="10" t="s">
        <v>145</v>
      </c>
      <c r="F25" s="5">
        <v>4</v>
      </c>
    </row>
    <row r="26" spans="1:6" x14ac:dyDescent="0.3">
      <c r="A26" s="10" t="s">
        <v>91</v>
      </c>
      <c r="B26" s="5">
        <v>5100</v>
      </c>
      <c r="E26" s="10" t="s">
        <v>173</v>
      </c>
      <c r="F26" s="5">
        <v>2</v>
      </c>
    </row>
    <row r="27" spans="1:6" x14ac:dyDescent="0.3">
      <c r="A27" s="10" t="s">
        <v>254</v>
      </c>
      <c r="B27" s="5">
        <v>56900</v>
      </c>
      <c r="E27" s="10" t="s">
        <v>203</v>
      </c>
      <c r="F27" s="5">
        <v>2</v>
      </c>
    </row>
    <row r="28" spans="1:6" x14ac:dyDescent="0.3">
      <c r="E28" s="10" t="s">
        <v>24</v>
      </c>
      <c r="F28" s="5">
        <v>16</v>
      </c>
    </row>
    <row r="29" spans="1:6" x14ac:dyDescent="0.3">
      <c r="A29" s="9" t="s">
        <v>253</v>
      </c>
      <c r="B29" t="s">
        <v>244</v>
      </c>
      <c r="E29" s="10" t="s">
        <v>48</v>
      </c>
      <c r="F29" s="5">
        <v>12</v>
      </c>
    </row>
    <row r="30" spans="1:6" x14ac:dyDescent="0.3">
      <c r="A30" s="10" t="s">
        <v>52</v>
      </c>
      <c r="B30" s="5">
        <v>47800</v>
      </c>
      <c r="E30" s="10" t="s">
        <v>62</v>
      </c>
      <c r="F30" s="5">
        <v>10</v>
      </c>
    </row>
    <row r="31" spans="1:6" x14ac:dyDescent="0.3">
      <c r="A31" s="10" t="s">
        <v>40</v>
      </c>
      <c r="B31" s="5">
        <v>62600</v>
      </c>
      <c r="E31" s="10" t="s">
        <v>254</v>
      </c>
      <c r="F31" s="5">
        <v>48</v>
      </c>
    </row>
    <row r="32" spans="1:6" x14ac:dyDescent="0.3">
      <c r="A32" s="10" t="s">
        <v>29</v>
      </c>
      <c r="B32" s="5">
        <v>37400</v>
      </c>
    </row>
    <row r="33" spans="1:6" x14ac:dyDescent="0.3">
      <c r="A33" s="10" t="s">
        <v>254</v>
      </c>
      <c r="B33" s="5">
        <v>147800</v>
      </c>
      <c r="E33" s="9" t="s">
        <v>253</v>
      </c>
      <c r="F33" t="s">
        <v>257</v>
      </c>
    </row>
    <row r="34" spans="1:6" x14ac:dyDescent="0.3">
      <c r="E34" s="10" t="s">
        <v>211</v>
      </c>
      <c r="F34" s="5">
        <v>2</v>
      </c>
    </row>
    <row r="35" spans="1:6" x14ac:dyDescent="0.3">
      <c r="A35" s="9" t="s">
        <v>253</v>
      </c>
      <c r="B35" t="s">
        <v>244</v>
      </c>
      <c r="E35" s="10" t="s">
        <v>145</v>
      </c>
      <c r="F35" s="5">
        <v>4</v>
      </c>
    </row>
    <row r="36" spans="1:6" x14ac:dyDescent="0.3">
      <c r="A36" s="10" t="s">
        <v>150</v>
      </c>
      <c r="B36" s="5">
        <v>7900</v>
      </c>
      <c r="E36" s="10" t="s">
        <v>173</v>
      </c>
      <c r="F36" s="5">
        <v>2</v>
      </c>
    </row>
    <row r="37" spans="1:6" x14ac:dyDescent="0.3">
      <c r="A37" s="10" t="s">
        <v>78</v>
      </c>
      <c r="B37" s="5">
        <v>11600</v>
      </c>
      <c r="E37" s="10" t="s">
        <v>203</v>
      </c>
      <c r="F37" s="5">
        <v>2</v>
      </c>
    </row>
    <row r="38" spans="1:6" x14ac:dyDescent="0.3">
      <c r="A38" s="10" t="s">
        <v>171</v>
      </c>
      <c r="B38" s="5">
        <v>6400</v>
      </c>
      <c r="E38" s="10" t="s">
        <v>24</v>
      </c>
      <c r="F38" s="5">
        <v>16</v>
      </c>
    </row>
    <row r="39" spans="1:6" x14ac:dyDescent="0.3">
      <c r="A39" s="10" t="s">
        <v>86</v>
      </c>
      <c r="B39" s="5">
        <v>9500</v>
      </c>
      <c r="E39" s="10" t="s">
        <v>48</v>
      </c>
      <c r="F39" s="5">
        <v>12</v>
      </c>
    </row>
    <row r="40" spans="1:6" x14ac:dyDescent="0.3">
      <c r="A40" s="10" t="s">
        <v>68</v>
      </c>
      <c r="B40" s="5">
        <v>7700</v>
      </c>
      <c r="E40" s="10" t="s">
        <v>62</v>
      </c>
      <c r="F40" s="5">
        <v>10</v>
      </c>
    </row>
    <row r="41" spans="1:6" x14ac:dyDescent="0.3">
      <c r="A41" s="10" t="s">
        <v>140</v>
      </c>
      <c r="B41" s="5">
        <v>6000</v>
      </c>
      <c r="E41" s="10" t="s">
        <v>254</v>
      </c>
      <c r="F41" s="5">
        <v>48</v>
      </c>
    </row>
    <row r="42" spans="1:6" x14ac:dyDescent="0.3">
      <c r="A42" s="10" t="s">
        <v>55</v>
      </c>
      <c r="B42" s="5">
        <v>19200</v>
      </c>
    </row>
    <row r="43" spans="1:6" x14ac:dyDescent="0.3">
      <c r="A43" s="10" t="s">
        <v>185</v>
      </c>
      <c r="B43" s="5">
        <v>8400</v>
      </c>
      <c r="E43" s="9" t="s">
        <v>253</v>
      </c>
      <c r="F43" t="s">
        <v>258</v>
      </c>
    </row>
    <row r="44" spans="1:6" x14ac:dyDescent="0.3">
      <c r="A44" s="10" t="s">
        <v>72</v>
      </c>
      <c r="B44" s="5">
        <v>6900</v>
      </c>
      <c r="E44" s="10" t="s">
        <v>59</v>
      </c>
      <c r="F44" s="5">
        <v>11</v>
      </c>
    </row>
    <row r="45" spans="1:6" x14ac:dyDescent="0.3">
      <c r="A45" s="10" t="s">
        <v>32</v>
      </c>
      <c r="B45" s="5">
        <v>31000</v>
      </c>
      <c r="E45" s="10" t="s">
        <v>41</v>
      </c>
      <c r="F45" s="5">
        <v>13</v>
      </c>
    </row>
    <row r="46" spans="1:6" x14ac:dyDescent="0.3">
      <c r="A46" s="10" t="s">
        <v>254</v>
      </c>
      <c r="B46" s="5">
        <v>114600</v>
      </c>
      <c r="E46" s="10" t="s">
        <v>66</v>
      </c>
      <c r="F46" s="5">
        <v>12</v>
      </c>
    </row>
    <row r="47" spans="1:6" x14ac:dyDescent="0.3">
      <c r="E47" s="10" t="s">
        <v>76</v>
      </c>
      <c r="F47" s="5">
        <v>13</v>
      </c>
    </row>
    <row r="48" spans="1:6" x14ac:dyDescent="0.3">
      <c r="E48" s="10" t="s">
        <v>30</v>
      </c>
      <c r="F48" s="5">
        <v>9</v>
      </c>
    </row>
    <row r="49" spans="5:6" x14ac:dyDescent="0.3">
      <c r="E49" s="10" t="s">
        <v>153</v>
      </c>
      <c r="F49" s="5">
        <v>3</v>
      </c>
    </row>
    <row r="50" spans="5:6" x14ac:dyDescent="0.3">
      <c r="E50" s="10" t="s">
        <v>80</v>
      </c>
      <c r="F50" s="5">
        <v>8</v>
      </c>
    </row>
    <row r="51" spans="5:6" x14ac:dyDescent="0.3">
      <c r="E51" s="10" t="s">
        <v>53</v>
      </c>
      <c r="F51" s="5">
        <v>9</v>
      </c>
    </row>
    <row r="52" spans="5:6" x14ac:dyDescent="0.3">
      <c r="E52" s="10" t="s">
        <v>254</v>
      </c>
      <c r="F52" s="5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66" zoomScaleNormal="55" workbookViewId="0">
      <selection activeCell="I14" sqref="I14"/>
    </sheetView>
  </sheetViews>
  <sheetFormatPr defaultRowHeight="14.4" x14ac:dyDescent="0.3"/>
  <cols>
    <col min="1" max="1" width="4.6640625" customWidth="1"/>
    <col min="2" max="2" width="24.5546875" customWidth="1"/>
    <col min="3" max="3" width="5" customWidth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66" zoomScaleNormal="55" workbookViewId="0">
      <selection activeCell="I14" sqref="I14"/>
    </sheetView>
  </sheetViews>
  <sheetFormatPr defaultRowHeight="14.4" x14ac:dyDescent="0.3"/>
  <cols>
    <col min="1" max="1" width="4.6640625" customWidth="1"/>
    <col min="2" max="2" width="24.5546875" customWidth="1"/>
    <col min="3" max="3" width="5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Rough</vt:lpstr>
      <vt:lpstr>Pivots</vt:lpstr>
      <vt:lpstr>Dashboard</vt:lpstr>
      <vt:lpstr>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Ruqayya Khan</dc:creator>
  <cp:lastModifiedBy>Ruqayya Khan</cp:lastModifiedBy>
  <dcterms:created xsi:type="dcterms:W3CDTF">2026-07-09T07:34:49Z</dcterms:created>
  <dcterms:modified xsi:type="dcterms:W3CDTF">2026-07-11T19:37:47Z</dcterms:modified>
</cp:coreProperties>
</file>